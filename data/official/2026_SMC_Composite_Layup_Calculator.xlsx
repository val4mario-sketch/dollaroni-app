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site stacking calculation" sheetId="1" r:id="rId5"/>
    <sheet state="hidden" name="Supporting Data" sheetId="2" r:id="rId6"/>
  </sheets>
  <definedNames/>
  <calcPr/>
</workbook>
</file>

<file path=xl/sharedStrings.xml><?xml version="1.0" encoding="utf-8"?>
<sst xmlns="http://schemas.openxmlformats.org/spreadsheetml/2006/main" count="160" uniqueCount="71">
  <si>
    <t>___________</t>
  </si>
  <si>
    <t>_______________________</t>
  </si>
  <si>
    <t>________</t>
  </si>
  <si>
    <t>USER INPUT</t>
  </si>
  <si>
    <t># of plies</t>
  </si>
  <si>
    <t>gsm</t>
  </si>
  <si>
    <t>sqm</t>
  </si>
  <si>
    <t>Densities</t>
  </si>
  <si>
    <t>PROCESS</t>
  </si>
  <si>
    <t>Vf</t>
  </si>
  <si>
    <t>Mass fraction</t>
  </si>
  <si>
    <t>PROCESS INPUT</t>
  </si>
  <si>
    <t>CARBON FIBER IM</t>
  </si>
  <si>
    <t>HAND LAYUP</t>
  </si>
  <si>
    <t>Carbon Fiber</t>
  </si>
  <si>
    <t>Wet Layup</t>
  </si>
  <si>
    <t>GLASS FIBER</t>
  </si>
  <si>
    <t>HAND LAYUP + VAC</t>
  </si>
  <si>
    <t>Wet Layup + Vacuum</t>
  </si>
  <si>
    <t>A COPY OF THIS SHEET CAN BE MADE TO AVOID YOUR DATA TO BE SHARED PUBLICLY</t>
  </si>
  <si>
    <t>PART NAME:</t>
  </si>
  <si>
    <t>**name of the part to be manufactured"</t>
  </si>
  <si>
    <t>Substacks</t>
  </si>
  <si>
    <t>REINFORCEMENT</t>
  </si>
  <si>
    <t>Density</t>
  </si>
  <si>
    <t>Ply area</t>
  </si>
  <si>
    <t>Num. of</t>
  </si>
  <si>
    <t>Area Weight</t>
  </si>
  <si>
    <t>FIBER</t>
  </si>
  <si>
    <t>WEIGHT</t>
  </si>
  <si>
    <t>Mass (g)</t>
  </si>
  <si>
    <t>TOTAL</t>
  </si>
  <si>
    <t>BASALT</t>
  </si>
  <si>
    <t>INFUSION</t>
  </si>
  <si>
    <t>Vacuum Infusion</t>
  </si>
  <si>
    <t>MATRIX</t>
  </si>
  <si>
    <t>SQM</t>
  </si>
  <si>
    <t>plies</t>
  </si>
  <si>
    <t>g/sqm</t>
  </si>
  <si>
    <t>Vol. Fract</t>
  </si>
  <si>
    <t>FRACTION</t>
  </si>
  <si>
    <t>PER ELEMENT</t>
  </si>
  <si>
    <t>%</t>
  </si>
  <si>
    <t>FLAX</t>
  </si>
  <si>
    <t>OOA CURING</t>
  </si>
  <si>
    <t xml:space="preserve">Prepreg </t>
  </si>
  <si>
    <t>A</t>
  </si>
  <si>
    <t>g/cm3</t>
  </si>
  <si>
    <t>EPOXY</t>
  </si>
  <si>
    <t xml:space="preserve">AUTOCLAVE </t>
  </si>
  <si>
    <t>THERMOPLASTIC</t>
  </si>
  <si>
    <t>HOTPRESS</t>
  </si>
  <si>
    <t>Glass Fiber</t>
  </si>
  <si>
    <t>B</t>
  </si>
  <si>
    <t>C</t>
  </si>
  <si>
    <t>Flax</t>
  </si>
  <si>
    <t>Prepreg</t>
  </si>
  <si>
    <t>D</t>
  </si>
  <si>
    <t>Basalt</t>
  </si>
  <si>
    <t>E</t>
  </si>
  <si>
    <t>Total Composite (g)</t>
  </si>
  <si>
    <t>g</t>
  </si>
  <si>
    <t>Total Fibers (g)</t>
  </si>
  <si>
    <t>Total Fibers (%)</t>
  </si>
  <si>
    <t>Total Resin (g)</t>
  </si>
  <si>
    <t>Total Resin (%)</t>
  </si>
  <si>
    <t>Matrix</t>
  </si>
  <si>
    <t>Reinforcement</t>
  </si>
  <si>
    <t>Process</t>
  </si>
  <si>
    <t>Resin content for calculation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</si>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</sst>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color rgb="FF666666"/>
      <name val="Arial"/>
      <scheme val="minor"/>
    </font>
    <font>
      <b/>
      <color theme="1"/>
      <name val="Arial"/>
      <scheme val="minor"/>
    </font>
    <font>
      <b/>
      <color rgb="FF666666"/>
      <name val="Arial"/>
      <scheme val="minor"/>
    </font>
    <font>
      <b/>
      <sz val="11.0"/>
      <color theme="1"/>
      <name val="Arial"/>
      <scheme val="minor"/>
    </font>
    <font>
      <b/>
      <sz val="21.0"/>
      <color theme="1"/>
      <name val="Arial"/>
      <scheme val="minor"/>
    </font>
    <font/>
    <font>
      <b/>
      <sz val="22.0"/>
      <color theme="1"/>
      <name val="Arial"/>
      <scheme val="minor"/>
    </font>
    <font>
      <b/>
      <sz val="22.0"/>
      <color rgb="FFFFFF00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/>
    </xf>
    <xf borderId="0" fillId="0" fontId="2" numFmtId="9" xfId="0" applyAlignment="1" applyFont="1" applyNumberFormat="1">
      <alignment readingOrder="0"/>
    </xf>
    <xf borderId="0" fillId="0" fontId="3" numFmtId="10" xfId="0" applyAlignment="1" applyFont="1" applyNumberFormat="1">
      <alignment horizontal="left" readingOrder="0"/>
    </xf>
    <xf borderId="0" fillId="5" fontId="2" numFmtId="0" xfId="0" applyAlignment="1" applyFill="1" applyFont="1">
      <alignment readingOrder="0"/>
    </xf>
    <xf borderId="0" fillId="2" fontId="1" numFmtId="0" xfId="0" applyAlignment="1" applyFont="1">
      <alignment horizontal="center" readingOrder="0" vertical="center"/>
    </xf>
    <xf borderId="0" fillId="0" fontId="4" numFmtId="0" xfId="0" applyFont="1"/>
    <xf borderId="0" fillId="0" fontId="4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0" fontId="4" numFmtId="9" xfId="0" applyAlignment="1" applyFont="1" applyNumberFormat="1">
      <alignment readingOrder="0"/>
    </xf>
    <xf borderId="0" fillId="0" fontId="5" numFmtId="10" xfId="0" applyAlignment="1" applyFont="1" applyNumberFormat="1">
      <alignment horizontal="left" readingOrder="0"/>
    </xf>
    <xf borderId="0" fillId="7" fontId="1" numFmtId="0" xfId="0" applyAlignment="1" applyFill="1" applyFont="1">
      <alignment horizontal="center" readingOrder="0" vertical="center"/>
    </xf>
    <xf borderId="5" fillId="7" fontId="4" numFmtId="0" xfId="0" applyAlignment="1" applyBorder="1" applyFont="1">
      <alignment horizontal="center" readingOrder="0"/>
    </xf>
    <xf borderId="6" fillId="7" fontId="6" numFmtId="0" xfId="0" applyAlignment="1" applyBorder="1" applyFont="1">
      <alignment horizontal="center" readingOrder="0" vertical="center"/>
    </xf>
    <xf borderId="7" fillId="7" fontId="6" numFmtId="0" xfId="0" applyAlignment="1" applyBorder="1" applyFont="1">
      <alignment horizontal="center" readingOrder="0" vertical="center"/>
    </xf>
    <xf borderId="6" fillId="7" fontId="6" numFmtId="0" xfId="0" applyAlignment="1" applyBorder="1" applyFont="1">
      <alignment horizontal="center" readingOrder="0"/>
    </xf>
    <xf borderId="0" fillId="7" fontId="6" numFmtId="0" xfId="0" applyAlignment="1" applyFont="1">
      <alignment horizontal="center" readingOrder="0"/>
    </xf>
    <xf borderId="7" fillId="7" fontId="6" numFmtId="0" xfId="0" applyAlignment="1" applyBorder="1" applyFont="1">
      <alignment horizontal="center" readingOrder="0"/>
    </xf>
    <xf borderId="5" fillId="7" fontId="6" numFmtId="0" xfId="0" applyAlignment="1" applyBorder="1" applyFont="1">
      <alignment horizontal="center" readingOrder="0" vertical="center"/>
    </xf>
    <xf borderId="0" fillId="7" fontId="6" numFmtId="0" xfId="0" applyAlignment="1" applyFont="1">
      <alignment horizontal="center" readingOrder="0" vertical="center"/>
    </xf>
    <xf borderId="0" fillId="7" fontId="6" numFmtId="3" xfId="0" applyAlignment="1" applyFont="1" applyNumberFormat="1">
      <alignment horizontal="center" readingOrder="0" vertical="center"/>
    </xf>
    <xf borderId="0" fillId="7" fontId="4" numFmtId="0" xfId="0" applyFont="1"/>
    <xf borderId="0" fillId="7" fontId="4" numFmtId="0" xfId="0" applyAlignment="1" applyFont="1">
      <alignment readingOrder="0"/>
    </xf>
    <xf borderId="0" fillId="7" fontId="4" numFmtId="9" xfId="0" applyAlignment="1" applyFont="1" applyNumberFormat="1">
      <alignment readingOrder="0"/>
    </xf>
    <xf borderId="0" fillId="7" fontId="5" numFmtId="10" xfId="0" applyAlignment="1" applyFont="1" applyNumberFormat="1">
      <alignment horizontal="left" readingOrder="0"/>
    </xf>
    <xf borderId="0" fillId="8" fontId="7" numFmtId="0" xfId="0" applyAlignment="1" applyFill="1" applyFont="1">
      <alignment horizontal="center" readingOrder="0" vertical="center"/>
    </xf>
    <xf borderId="7" fillId="0" fontId="8" numFmtId="0" xfId="0" applyBorder="1" applyFont="1"/>
    <xf borderId="0" fillId="9" fontId="9" numFmtId="0" xfId="0" applyAlignment="1" applyFill="1" applyFont="1">
      <alignment horizontal="left" readingOrder="0" vertical="center"/>
    </xf>
    <xf borderId="0" fillId="9" fontId="10" numFmtId="0" xfId="0" applyAlignment="1" applyFont="1">
      <alignment horizontal="left" readingOrder="0" vertical="center"/>
    </xf>
    <xf borderId="1" fillId="0" fontId="1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3" xfId="0" applyAlignment="1" applyFont="1" applyNumberForma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0" fillId="10" fontId="4" numFmtId="0" xfId="0" applyAlignment="1" applyFill="1" applyFont="1">
      <alignment readingOrder="0"/>
    </xf>
    <xf borderId="1" fillId="0" fontId="4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4" fillId="0" fontId="11" numFmtId="9" xfId="0" applyAlignment="1" applyBorder="1" applyFont="1" applyNumberFormat="1">
      <alignment horizontal="center" readingOrder="0" vertical="center"/>
    </xf>
    <xf borderId="4" fillId="3" fontId="2" numFmtId="164" xfId="0" applyAlignment="1" applyBorder="1" applyFont="1" applyNumberFormat="1">
      <alignment horizontal="center"/>
    </xf>
    <xf borderId="4" fillId="3" fontId="2" numFmtId="3" xfId="0" applyAlignment="1" applyBorder="1" applyFont="1" applyNumberFormat="1">
      <alignment horizontal="center"/>
    </xf>
    <xf borderId="4" fillId="0" fontId="2" numFmtId="9" xfId="0" applyAlignment="1" applyBorder="1" applyFont="1" applyNumberFormat="1">
      <alignment horizontal="center"/>
    </xf>
    <xf borderId="4" fillId="0" fontId="12" numFmtId="9" xfId="0" applyAlignment="1" applyBorder="1" applyFont="1" applyNumberFormat="1">
      <alignment horizontal="center" vertical="center"/>
    </xf>
    <xf borderId="4" fillId="0" fontId="2" numFmtId="0" xfId="0" applyBorder="1" applyFont="1"/>
    <xf borderId="4" fillId="0" fontId="2" numFmtId="0" xfId="0" applyAlignment="1" applyBorder="1" applyFont="1">
      <alignment readingOrder="0"/>
    </xf>
    <xf borderId="4" fillId="11" fontId="2" numFmtId="0" xfId="0" applyAlignment="1" applyBorder="1" applyFill="1" applyFont="1">
      <alignment readingOrder="0"/>
    </xf>
    <xf borderId="4" fillId="0" fontId="2" numFmtId="9" xfId="0" applyAlignment="1" applyBorder="1" applyFont="1" applyNumberFormat="1">
      <alignment readingOrder="0"/>
    </xf>
    <xf borderId="4" fillId="0" fontId="3" numFmtId="10" xfId="0" applyAlignment="1" applyBorder="1" applyFont="1" applyNumberFormat="1">
      <alignment horizontal="left"/>
    </xf>
    <xf borderId="3" fillId="0" fontId="2" numFmtId="0" xfId="0" applyBorder="1" applyFont="1"/>
    <xf borderId="8" fillId="0" fontId="8" numFmtId="0" xfId="0" applyBorder="1" applyFont="1"/>
    <xf borderId="8" fillId="0" fontId="4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10" fillId="12" fontId="2" numFmtId="0" xfId="0" applyAlignment="1" applyBorder="1" applyFill="1" applyFont="1">
      <alignment horizontal="center" readingOrder="0"/>
    </xf>
    <xf borderId="10" fillId="0" fontId="8" numFmtId="0" xfId="0" applyBorder="1" applyFont="1"/>
    <xf borderId="10" fillId="0" fontId="2" numFmtId="164" xfId="0" applyAlignment="1" applyBorder="1" applyFont="1" applyNumberFormat="1">
      <alignment horizontal="center" readingOrder="0"/>
    </xf>
    <xf borderId="10" fillId="3" fontId="4" numFmtId="3" xfId="0" applyAlignment="1" applyBorder="1" applyFont="1" applyNumberFormat="1">
      <alignment horizontal="center" readingOrder="0"/>
    </xf>
    <xf borderId="10" fillId="0" fontId="2" numFmtId="9" xfId="0" applyAlignment="1" applyBorder="1" applyFont="1" applyNumberFormat="1">
      <alignment horizontal="center"/>
    </xf>
    <xf borderId="10" fillId="0" fontId="2" numFmtId="0" xfId="0" applyBorder="1" applyFont="1"/>
    <xf borderId="10" fillId="0" fontId="2" numFmtId="0" xfId="0" applyAlignment="1" applyBorder="1" applyFont="1">
      <alignment readingOrder="0"/>
    </xf>
    <xf borderId="10" fillId="13" fontId="2" numFmtId="0" xfId="0" applyAlignment="1" applyBorder="1" applyFill="1" applyFont="1">
      <alignment readingOrder="0"/>
    </xf>
    <xf borderId="10" fillId="0" fontId="2" numFmtId="9" xfId="0" applyAlignment="1" applyBorder="1" applyFont="1" applyNumberFormat="1">
      <alignment readingOrder="0"/>
    </xf>
    <xf borderId="10" fillId="0" fontId="3" numFmtId="10" xfId="0" applyAlignment="1" applyBorder="1" applyFont="1" applyNumberFormat="1">
      <alignment horizontal="left" readingOrder="0"/>
    </xf>
    <xf borderId="11" fillId="0" fontId="2" numFmtId="0" xfId="0" applyBorder="1" applyFont="1"/>
    <xf borderId="0" fillId="12" fontId="1" numFmtId="0" xfId="0" applyAlignment="1" applyFont="1">
      <alignment horizontal="center" vertical="center"/>
    </xf>
    <xf borderId="0" fillId="12" fontId="4" numFmtId="0" xfId="0" applyAlignment="1" applyFont="1">
      <alignment horizontal="center" readingOrder="0"/>
    </xf>
    <xf borderId="0" fillId="12" fontId="2" numFmtId="0" xfId="0" applyAlignment="1" applyFont="1">
      <alignment horizontal="center" readingOrder="0"/>
    </xf>
    <xf borderId="0" fillId="12" fontId="2" numFmtId="9" xfId="0" applyAlignment="1" applyFont="1" applyNumberFormat="1">
      <alignment horizontal="center" vertical="center"/>
    </xf>
    <xf borderId="0" fillId="12" fontId="2" numFmtId="164" xfId="0" applyAlignment="1" applyFont="1" applyNumberFormat="1">
      <alignment horizontal="center" readingOrder="0"/>
    </xf>
    <xf borderId="0" fillId="12" fontId="4" numFmtId="3" xfId="0" applyAlignment="1" applyFont="1" applyNumberFormat="1">
      <alignment horizontal="center" readingOrder="0"/>
    </xf>
    <xf borderId="0" fillId="12" fontId="2" numFmtId="9" xfId="0" applyAlignment="1" applyFont="1" applyNumberFormat="1">
      <alignment horizontal="center"/>
    </xf>
    <xf borderId="0" fillId="12" fontId="2" numFmtId="0" xfId="0" applyAlignment="1" applyFont="1">
      <alignment horizontal="center"/>
    </xf>
    <xf borderId="0" fillId="12" fontId="2" numFmtId="0" xfId="0" applyFont="1"/>
    <xf borderId="0" fillId="12" fontId="2" numFmtId="0" xfId="0" applyAlignment="1" applyFont="1">
      <alignment readingOrder="0"/>
    </xf>
    <xf borderId="0" fillId="12" fontId="3" numFmtId="10" xfId="0" applyAlignment="1" applyFont="1" applyNumberFormat="1">
      <alignment horizontal="left" readingOrder="0"/>
    </xf>
    <xf borderId="4" fillId="0" fontId="3" numFmtId="10" xfId="0" applyAlignment="1" applyBorder="1" applyFont="1" applyNumberFormat="1">
      <alignment horizontal="left" readingOrder="0"/>
    </xf>
    <xf borderId="11" fillId="0" fontId="2" numFmtId="0" xfId="0" applyAlignment="1" applyBorder="1" applyFont="1">
      <alignment horizontal="center" readingOrder="0"/>
    </xf>
    <xf borderId="12" fillId="12" fontId="2" numFmtId="0" xfId="0" applyAlignment="1" applyBorder="1" applyFont="1">
      <alignment horizontal="center" readingOrder="0"/>
    </xf>
    <xf borderId="13" fillId="12" fontId="2" numFmtId="0" xfId="0" applyAlignment="1" applyBorder="1" applyFont="1">
      <alignment horizontal="center" readingOrder="0"/>
    </xf>
    <xf borderId="14" fillId="12" fontId="2" numFmtId="0" xfId="0" applyAlignment="1" applyBorder="1" applyFont="1">
      <alignment horizontal="center" readingOrder="0"/>
    </xf>
    <xf borderId="10" fillId="0" fontId="3" numFmtId="10" xfId="0" applyAlignment="1" applyBorder="1" applyFont="1" applyNumberFormat="1">
      <alignment horizontal="left"/>
    </xf>
    <xf borderId="11" fillId="0" fontId="13" numFmtId="0" xfId="0" applyAlignment="1" applyBorder="1" applyFont="1">
      <alignment horizontal="center" vertical="bottom"/>
    </xf>
    <xf borderId="11" fillId="0" fontId="13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2" fillId="12" fontId="2" numFmtId="0" xfId="0" applyAlignment="1" applyBorder="1" applyFont="1">
      <alignment horizontal="center" readingOrder="0"/>
    </xf>
    <xf borderId="4" fillId="12" fontId="2" numFmtId="0" xfId="0" applyAlignment="1" applyBorder="1" applyFont="1">
      <alignment horizontal="center" readingOrder="0"/>
    </xf>
    <xf borderId="3" fillId="12" fontId="2" numFmtId="0" xfId="0" applyAlignment="1" applyBorder="1" applyFont="1">
      <alignment horizontal="center" readingOrder="0"/>
    </xf>
    <xf borderId="0" fillId="12" fontId="4" numFmtId="0" xfId="0" applyAlignment="1" applyFont="1">
      <alignment horizontal="center"/>
    </xf>
    <xf borderId="12" fillId="3" fontId="4" numFmtId="0" xfId="0" applyAlignment="1" applyBorder="1" applyFont="1">
      <alignment horizontal="center" readingOrder="0"/>
    </xf>
    <xf borderId="13" fillId="3" fontId="4" numFmtId="3" xfId="0" applyAlignment="1" applyBorder="1" applyFont="1" applyNumberFormat="1">
      <alignment horizontal="center"/>
    </xf>
    <xf borderId="13" fillId="3" fontId="4" numFmtId="0" xfId="0" applyAlignment="1" applyBorder="1" applyFont="1">
      <alignment horizontal="left" readingOrder="0"/>
    </xf>
    <xf borderId="14" fillId="3" fontId="4" numFmtId="9" xfId="0" applyAlignment="1" applyBorder="1" applyFont="1" applyNumberFormat="1">
      <alignment horizontal="center"/>
    </xf>
    <xf borderId="0" fillId="3" fontId="2" numFmtId="3" xfId="0" applyAlignment="1" applyFont="1" applyNumberFormat="1">
      <alignment horizontal="center"/>
    </xf>
    <xf borderId="0" fillId="3" fontId="2" numFmtId="0" xfId="0" applyAlignment="1" applyFont="1">
      <alignment horizontal="left" readingOrder="0"/>
    </xf>
    <xf borderId="0" fillId="3" fontId="2" numFmtId="10" xfId="0" applyAlignment="1" applyFont="1" applyNumberFormat="1">
      <alignment horizontal="center"/>
    </xf>
    <xf borderId="0" fillId="3" fontId="2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10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10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upporting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E17" displayName="Table1" name="Table1" id="1">
  <tableColumns count="4">
    <tableColumn name="Matrix" id="1"/>
    <tableColumn name="Reinforcement" id="2"/>
    <tableColumn name="Process" id="3"/>
    <tableColumn name="Resin content for calculation" id="4"/>
  </tableColumns>
  <tableStyleInfo name="Supporting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1.0"/>
    <col customWidth="1" min="3" max="3" width="6.38"/>
    <col customWidth="1" min="4" max="4" width="5.5"/>
    <col customWidth="1" min="5" max="7" width="11.25"/>
    <col customWidth="1" min="8" max="8" width="16.63"/>
    <col customWidth="1" min="9" max="9" width="9.25"/>
    <col customWidth="1" min="10" max="10" width="17.13"/>
    <col customWidth="1" min="11" max="11" width="7.75"/>
    <col customWidth="1" min="12" max="12" width="14.0"/>
    <col customWidth="1" min="13" max="13" width="8.38"/>
    <col hidden="1" min="14" max="16" width="12.63"/>
    <col customWidth="1" hidden="1" min="17" max="17" width="7.63"/>
    <col customWidth="1" hidden="1" min="18" max="18" width="4.13"/>
    <col customWidth="1" hidden="1" min="19" max="19" width="4.25"/>
    <col customWidth="1" hidden="1" min="20" max="20" width="15.75"/>
    <col customWidth="1" hidden="1" min="21" max="21" width="4.25"/>
    <col customWidth="1" hidden="1" min="22" max="22" width="16.75"/>
    <col customWidth="1" hidden="1" min="23" max="23" width="4.38"/>
    <col hidden="1" min="24" max="28" width="12.63"/>
  </cols>
  <sheetData>
    <row r="1" hidden="1">
      <c r="A1" s="1"/>
      <c r="B1" s="2"/>
      <c r="C1" s="3"/>
      <c r="D1" s="4"/>
      <c r="E1" s="5" t="s">
        <v>0</v>
      </c>
      <c r="F1" s="6" t="s">
        <v>0</v>
      </c>
      <c r="G1" s="7" t="s">
        <v>0</v>
      </c>
      <c r="H1" s="8" t="s">
        <v>1</v>
      </c>
      <c r="I1" s="9"/>
      <c r="J1" s="9" t="s">
        <v>2</v>
      </c>
      <c r="K1" s="9" t="s">
        <v>2</v>
      </c>
      <c r="L1" s="9" t="s">
        <v>2</v>
      </c>
      <c r="M1" s="9" t="s">
        <v>2</v>
      </c>
      <c r="Q1" s="10"/>
      <c r="R1" s="10"/>
    </row>
    <row r="2" hidden="1">
      <c r="A2" s="1"/>
      <c r="B2" s="11"/>
      <c r="C2" s="12"/>
      <c r="D2" s="13"/>
      <c r="E2" s="12"/>
      <c r="F2" s="14"/>
      <c r="G2" s="13"/>
      <c r="H2" s="11"/>
      <c r="I2" s="15"/>
      <c r="J2" s="15" t="s">
        <v>3</v>
      </c>
      <c r="K2" s="14"/>
      <c r="L2" s="14"/>
      <c r="M2" s="14"/>
      <c r="Q2" s="10" t="s">
        <v>4</v>
      </c>
      <c r="R2" s="10" t="s">
        <v>5</v>
      </c>
      <c r="S2" s="10" t="s">
        <v>6</v>
      </c>
      <c r="T2" s="10" t="s">
        <v>7</v>
      </c>
      <c r="V2" s="10" t="s">
        <v>8</v>
      </c>
      <c r="W2" s="10" t="s">
        <v>9</v>
      </c>
      <c r="Z2" s="10" t="s">
        <v>10</v>
      </c>
    </row>
    <row r="3" hidden="1">
      <c r="A3" s="1"/>
      <c r="B3" s="11"/>
      <c r="C3" s="12"/>
      <c r="D3" s="13"/>
      <c r="E3" s="12"/>
      <c r="F3" s="14"/>
      <c r="G3" s="13"/>
      <c r="H3" s="11"/>
      <c r="I3" s="16"/>
      <c r="J3" s="16" t="s">
        <v>11</v>
      </c>
      <c r="K3" s="14"/>
      <c r="L3" s="14"/>
      <c r="M3" s="14"/>
      <c r="Q3" s="10">
        <v>0.0</v>
      </c>
      <c r="R3" s="10">
        <v>80.0</v>
      </c>
      <c r="S3" s="10">
        <v>0.0</v>
      </c>
      <c r="T3" s="17" t="s">
        <v>12</v>
      </c>
      <c r="U3" s="10">
        <v>1.77</v>
      </c>
      <c r="V3" s="10" t="s">
        <v>13</v>
      </c>
      <c r="W3" s="18">
        <v>0.3</v>
      </c>
      <c r="X3" s="10" t="s">
        <v>14</v>
      </c>
      <c r="Y3" s="10" t="s">
        <v>15</v>
      </c>
      <c r="Z3" s="19">
        <v>0.65</v>
      </c>
    </row>
    <row r="4" hidden="1">
      <c r="A4" s="1"/>
      <c r="B4" s="11"/>
      <c r="C4" s="12"/>
      <c r="D4" s="13"/>
      <c r="E4" s="12"/>
      <c r="F4" s="14"/>
      <c r="G4" s="13"/>
      <c r="H4" s="11"/>
      <c r="I4" s="14"/>
      <c r="J4" s="14"/>
      <c r="K4" s="14"/>
      <c r="L4" s="14"/>
      <c r="M4" s="14"/>
      <c r="Q4" s="10">
        <v>1.0</v>
      </c>
      <c r="R4" s="10">
        <v>100.0</v>
      </c>
      <c r="S4" s="10">
        <v>0.25</v>
      </c>
      <c r="T4" s="20" t="s">
        <v>16</v>
      </c>
      <c r="U4" s="10">
        <v>2.6</v>
      </c>
      <c r="V4" s="10" t="s">
        <v>17</v>
      </c>
      <c r="W4" s="18">
        <v>0.35</v>
      </c>
      <c r="X4" s="10" t="s">
        <v>14</v>
      </c>
      <c r="Y4" s="10" t="s">
        <v>18</v>
      </c>
      <c r="Z4" s="19">
        <v>0.5</v>
      </c>
    </row>
    <row r="5">
      <c r="A5" s="21" t="s">
        <v>19</v>
      </c>
      <c r="N5" s="22"/>
      <c r="O5" s="22"/>
      <c r="P5" s="22"/>
      <c r="Q5" s="23"/>
      <c r="R5" s="23"/>
      <c r="S5" s="23"/>
      <c r="T5" s="24"/>
      <c r="U5" s="23"/>
      <c r="V5" s="23"/>
      <c r="W5" s="25"/>
      <c r="X5" s="23"/>
      <c r="Y5" s="23"/>
      <c r="Z5" s="26"/>
      <c r="AA5" s="22"/>
      <c r="AB5" s="22"/>
    </row>
    <row r="6">
      <c r="A6" s="27"/>
      <c r="B6" s="28"/>
      <c r="C6" s="29"/>
      <c r="D6" s="30"/>
      <c r="E6" s="31"/>
      <c r="F6" s="32"/>
      <c r="G6" s="33"/>
      <c r="H6" s="34"/>
      <c r="I6" s="35"/>
      <c r="J6" s="35"/>
      <c r="K6" s="36"/>
      <c r="L6" s="32"/>
      <c r="M6" s="32"/>
      <c r="N6" s="37"/>
      <c r="O6" s="37"/>
      <c r="P6" s="37"/>
      <c r="Q6" s="38"/>
      <c r="R6" s="38"/>
      <c r="S6" s="38"/>
      <c r="T6" s="38"/>
      <c r="U6" s="38"/>
      <c r="V6" s="38"/>
      <c r="W6" s="39"/>
      <c r="X6" s="38"/>
      <c r="Y6" s="38"/>
      <c r="Z6" s="40"/>
      <c r="AA6" s="37"/>
      <c r="AB6" s="37"/>
    </row>
    <row r="7">
      <c r="A7" s="41" t="s">
        <v>20</v>
      </c>
      <c r="B7" s="42"/>
      <c r="C7" s="43"/>
      <c r="D7" s="44" t="s">
        <v>21</v>
      </c>
      <c r="N7" s="37"/>
      <c r="O7" s="37"/>
      <c r="P7" s="37"/>
      <c r="Q7" s="38"/>
      <c r="R7" s="38"/>
      <c r="S7" s="38"/>
      <c r="T7" s="38"/>
      <c r="U7" s="38"/>
      <c r="V7" s="38"/>
      <c r="W7" s="39"/>
      <c r="X7" s="38"/>
      <c r="Y7" s="38"/>
      <c r="Z7" s="40"/>
      <c r="AA7" s="37"/>
      <c r="AB7" s="37"/>
    </row>
    <row r="8">
      <c r="B8" s="42"/>
      <c r="N8" s="37"/>
      <c r="O8" s="37"/>
      <c r="P8" s="37"/>
      <c r="Q8" s="38"/>
      <c r="R8" s="38"/>
      <c r="S8" s="38"/>
      <c r="T8" s="38"/>
      <c r="U8" s="38"/>
      <c r="V8" s="38"/>
      <c r="W8" s="39"/>
      <c r="X8" s="38"/>
      <c r="Y8" s="38"/>
      <c r="Z8" s="40"/>
      <c r="AA8" s="37"/>
      <c r="AB8" s="37"/>
    </row>
    <row r="9">
      <c r="A9" s="27"/>
      <c r="B9" s="28"/>
      <c r="C9" s="29"/>
      <c r="D9" s="30"/>
      <c r="E9" s="31"/>
      <c r="F9" s="32"/>
      <c r="G9" s="33"/>
      <c r="H9" s="34"/>
      <c r="I9" s="35"/>
      <c r="J9" s="35"/>
      <c r="K9" s="36"/>
      <c r="L9" s="32"/>
      <c r="M9" s="32"/>
      <c r="N9" s="37"/>
      <c r="O9" s="37"/>
      <c r="P9" s="37"/>
      <c r="Q9" s="38"/>
      <c r="R9" s="38"/>
      <c r="S9" s="38"/>
      <c r="T9" s="38"/>
      <c r="U9" s="38"/>
      <c r="V9" s="38"/>
      <c r="W9" s="39"/>
      <c r="X9" s="38"/>
      <c r="Y9" s="38"/>
      <c r="Z9" s="40"/>
      <c r="AA9" s="37"/>
      <c r="AB9" s="37"/>
    </row>
    <row r="10">
      <c r="A10" s="45" t="s">
        <v>22</v>
      </c>
      <c r="B10" s="46" t="s">
        <v>23</v>
      </c>
      <c r="C10" s="47" t="s">
        <v>24</v>
      </c>
      <c r="D10" s="42"/>
      <c r="E10" s="48" t="s">
        <v>25</v>
      </c>
      <c r="F10" s="49" t="s">
        <v>26</v>
      </c>
      <c r="G10" s="50" t="s">
        <v>27</v>
      </c>
      <c r="H10" s="51" t="s">
        <v>8</v>
      </c>
      <c r="I10" s="52" t="s">
        <v>28</v>
      </c>
      <c r="J10" s="52" t="s">
        <v>29</v>
      </c>
      <c r="K10" s="53" t="s">
        <v>30</v>
      </c>
      <c r="L10" s="49" t="s">
        <v>31</v>
      </c>
      <c r="M10" s="49" t="s">
        <v>31</v>
      </c>
      <c r="N10" s="22"/>
      <c r="O10" s="22"/>
      <c r="P10" s="22"/>
      <c r="Q10" s="23">
        <v>2.0</v>
      </c>
      <c r="R10" s="23">
        <v>120.0</v>
      </c>
      <c r="S10" s="23">
        <v>0.5</v>
      </c>
      <c r="T10" s="24" t="s">
        <v>32</v>
      </c>
      <c r="U10" s="23">
        <v>2.9</v>
      </c>
      <c r="V10" s="23" t="s">
        <v>33</v>
      </c>
      <c r="W10" s="25">
        <v>0.45</v>
      </c>
      <c r="X10" s="23" t="s">
        <v>14</v>
      </c>
      <c r="Y10" s="23" t="s">
        <v>34</v>
      </c>
      <c r="Z10" s="26">
        <v>0.45</v>
      </c>
      <c r="AA10" s="22"/>
      <c r="AB10" s="22"/>
    </row>
    <row r="11">
      <c r="A11" s="54"/>
      <c r="B11" s="46" t="s">
        <v>35</v>
      </c>
      <c r="C11" s="55"/>
      <c r="D11" s="42"/>
      <c r="E11" s="48" t="s">
        <v>36</v>
      </c>
      <c r="F11" s="49" t="s">
        <v>37</v>
      </c>
      <c r="G11" s="50" t="s">
        <v>38</v>
      </c>
      <c r="H11" s="54"/>
      <c r="I11" s="52" t="s">
        <v>39</v>
      </c>
      <c r="J11" s="52" t="s">
        <v>40</v>
      </c>
      <c r="L11" s="49" t="s">
        <v>41</v>
      </c>
      <c r="M11" s="49" t="s">
        <v>42</v>
      </c>
      <c r="N11" s="22"/>
      <c r="O11" s="22"/>
      <c r="P11" s="22"/>
      <c r="Q11" s="23">
        <v>3.0</v>
      </c>
      <c r="R11" s="23">
        <v>150.0</v>
      </c>
      <c r="S11" s="23">
        <v>0.75</v>
      </c>
      <c r="T11" s="56" t="s">
        <v>43</v>
      </c>
      <c r="U11" s="23">
        <v>1.3</v>
      </c>
      <c r="V11" s="23" t="s">
        <v>44</v>
      </c>
      <c r="W11" s="25">
        <v>0.5</v>
      </c>
      <c r="X11" s="23" t="s">
        <v>14</v>
      </c>
      <c r="Y11" s="23" t="s">
        <v>45</v>
      </c>
      <c r="Z11" s="26">
        <v>0.4</v>
      </c>
      <c r="AA11" s="22"/>
      <c r="AB11" s="22"/>
    </row>
    <row r="12">
      <c r="A12" s="45" t="s">
        <v>46</v>
      </c>
      <c r="B12" s="57" t="s">
        <v>32</v>
      </c>
      <c r="C12" s="5">
        <f>if(B12=$T$3,$U$3,if(B12=$T$4,$U$4,if(B12=$T$10,$U$10,if(B12=$T$11,$U$11))))</f>
        <v>2.9</v>
      </c>
      <c r="D12" s="7" t="s">
        <v>47</v>
      </c>
      <c r="E12" s="58">
        <v>0.06</v>
      </c>
      <c r="F12" s="59">
        <v>10.0</v>
      </c>
      <c r="G12" s="60">
        <v>200.0</v>
      </c>
      <c r="H12" s="61" t="s">
        <v>33</v>
      </c>
      <c r="I12" s="62">
        <f>if(H12=$V$3,$W$3,if(H12=$V$4,$W$4,if(H12=$V$10,$W$10,if(H12=$V$11,$W$11,if(H12=$V$12,$W$12,if(H12=$V$13,$W$13))))))</f>
        <v>0.45</v>
      </c>
      <c r="J12" s="63">
        <f>C12*I12/((C12*I12)+(C13*(1-I12)))</f>
        <v>0.6735483871</v>
      </c>
      <c r="K12" s="64">
        <f>E12*F12*G12</f>
        <v>120</v>
      </c>
      <c r="L12" s="65">
        <f t="shared" ref="L12:L13" si="1">K12/K$27</f>
        <v>0.02376736381</v>
      </c>
      <c r="M12" s="66">
        <f>sum(L12:L13)</f>
        <v>0.03528679492</v>
      </c>
      <c r="N12" s="67"/>
      <c r="O12" s="67"/>
      <c r="P12" s="67"/>
      <c r="Q12" s="68">
        <v>4.0</v>
      </c>
      <c r="R12" s="68">
        <v>180.0</v>
      </c>
      <c r="S12" s="68">
        <v>1.0</v>
      </c>
      <c r="T12" s="69" t="s">
        <v>48</v>
      </c>
      <c r="U12" s="68">
        <v>1.15</v>
      </c>
      <c r="V12" s="68" t="s">
        <v>49</v>
      </c>
      <c r="W12" s="70">
        <v>0.55</v>
      </c>
      <c r="X12" s="67"/>
      <c r="Y12" s="67"/>
      <c r="Z12" s="71"/>
      <c r="AA12" s="67"/>
      <c r="AB12" s="72"/>
    </row>
    <row r="13">
      <c r="A13" s="73"/>
      <c r="B13" s="74" t="s">
        <v>48</v>
      </c>
      <c r="C13" s="75">
        <f>if(B13=$T$12,$U$12,if(B13=$T$13,$U$13))</f>
        <v>1.15</v>
      </c>
      <c r="D13" s="76" t="s">
        <v>47</v>
      </c>
      <c r="E13" s="77"/>
      <c r="F13" s="77"/>
      <c r="G13" s="77"/>
      <c r="H13" s="73"/>
      <c r="I13" s="78"/>
      <c r="J13" s="79">
        <f>1-J12</f>
        <v>0.3264516129</v>
      </c>
      <c r="K13" s="80">
        <f>J13*K12/J12</f>
        <v>58.16091954</v>
      </c>
      <c r="L13" s="81">
        <f t="shared" si="1"/>
        <v>0.01151943112</v>
      </c>
      <c r="M13" s="78"/>
      <c r="N13" s="82"/>
      <c r="O13" s="82"/>
      <c r="P13" s="82"/>
      <c r="Q13" s="83">
        <v>5.0</v>
      </c>
      <c r="R13" s="83">
        <v>200.0</v>
      </c>
      <c r="S13" s="83">
        <v>1.25</v>
      </c>
      <c r="T13" s="84" t="s">
        <v>50</v>
      </c>
      <c r="U13" s="83">
        <v>1.05</v>
      </c>
      <c r="V13" s="83" t="s">
        <v>51</v>
      </c>
      <c r="W13" s="85">
        <v>0.55</v>
      </c>
      <c r="X13" s="83" t="s">
        <v>52</v>
      </c>
      <c r="Y13" s="83" t="s">
        <v>15</v>
      </c>
      <c r="Z13" s="86">
        <v>0.46</v>
      </c>
      <c r="AA13" s="82"/>
      <c r="AB13" s="87"/>
    </row>
    <row r="14">
      <c r="A14" s="88"/>
      <c r="B14" s="89"/>
      <c r="C14" s="90"/>
      <c r="D14" s="90"/>
      <c r="E14" s="90"/>
      <c r="F14" s="90"/>
      <c r="G14" s="90"/>
      <c r="H14" s="91"/>
      <c r="I14" s="90"/>
      <c r="J14" s="92"/>
      <c r="K14" s="93"/>
      <c r="L14" s="94"/>
      <c r="M14" s="95"/>
      <c r="N14" s="96"/>
      <c r="O14" s="96"/>
      <c r="P14" s="96"/>
      <c r="Q14" s="97">
        <v>6.0</v>
      </c>
      <c r="R14" s="97">
        <v>220.0</v>
      </c>
      <c r="S14" s="97">
        <v>1.5</v>
      </c>
      <c r="T14" s="96"/>
      <c r="U14" s="96"/>
      <c r="V14" s="96"/>
      <c r="W14" s="96"/>
      <c r="X14" s="97" t="s">
        <v>52</v>
      </c>
      <c r="Y14" s="97" t="s">
        <v>18</v>
      </c>
      <c r="Z14" s="98">
        <v>0.4</v>
      </c>
      <c r="AA14" s="96"/>
      <c r="AB14" s="96"/>
    </row>
    <row r="15">
      <c r="A15" s="45" t="s">
        <v>53</v>
      </c>
      <c r="B15" s="57" t="s">
        <v>43</v>
      </c>
      <c r="C15" s="5">
        <f>if(B15=$T$3,$U$3,if(B15=$T$4,$U$4,if(B15=$T$10,$U$10,if(B15=$T$11,$U$11))))</f>
        <v>1.3</v>
      </c>
      <c r="D15" s="7" t="s">
        <v>47</v>
      </c>
      <c r="E15" s="58">
        <v>0.706</v>
      </c>
      <c r="F15" s="59">
        <v>4.0</v>
      </c>
      <c r="G15" s="60">
        <v>340.0</v>
      </c>
      <c r="H15" s="61" t="s">
        <v>17</v>
      </c>
      <c r="I15" s="62">
        <f>if(H15=$V$3,$W$3,if(H15=$V$4,$W$4,if(H15=$V$10,$W$10,if(H15=$V$11,$W$11,if(H15=$V$12,$W$12,if(H15=$V$13,$W$13))))))</f>
        <v>0.35</v>
      </c>
      <c r="J15" s="63">
        <f>C15*I15/((C15*I15)+(C16*(1-I15)))</f>
        <v>0.3783783784</v>
      </c>
      <c r="K15" s="64">
        <f>E15*F15*G15</f>
        <v>960.16</v>
      </c>
      <c r="L15" s="65">
        <f t="shared" ref="L15:L16" si="2">K15/K$27</f>
        <v>0.1901706003</v>
      </c>
      <c r="M15" s="66">
        <f>sum(L15:L16)</f>
        <v>0.5025937293</v>
      </c>
      <c r="N15" s="67"/>
      <c r="O15" s="67"/>
      <c r="P15" s="67"/>
      <c r="Q15" s="68">
        <v>7.0</v>
      </c>
      <c r="R15" s="68">
        <v>240.0</v>
      </c>
      <c r="S15" s="68">
        <v>1.75</v>
      </c>
      <c r="T15" s="67"/>
      <c r="U15" s="67"/>
      <c r="V15" s="67"/>
      <c r="W15" s="67"/>
      <c r="X15" s="68" t="s">
        <v>52</v>
      </c>
      <c r="Y15" s="68" t="s">
        <v>34</v>
      </c>
      <c r="Z15" s="99">
        <v>0.35</v>
      </c>
      <c r="AA15" s="67"/>
      <c r="AB15" s="72"/>
    </row>
    <row r="16">
      <c r="A16" s="73"/>
      <c r="B16" s="74" t="s">
        <v>48</v>
      </c>
      <c r="C16" s="75">
        <f>if(B16=$T$12,$U$12,if(B16=$T$13,$U$13))</f>
        <v>1.15</v>
      </c>
      <c r="D16" s="100" t="s">
        <v>47</v>
      </c>
      <c r="E16" s="101"/>
      <c r="F16" s="102"/>
      <c r="G16" s="103"/>
      <c r="H16" s="73"/>
      <c r="I16" s="78"/>
      <c r="J16" s="79">
        <f>1-J15</f>
        <v>0.6216216216</v>
      </c>
      <c r="K16" s="80">
        <f>J16*K15/J15</f>
        <v>1577.405714</v>
      </c>
      <c r="L16" s="81">
        <f t="shared" si="2"/>
        <v>0.312423129</v>
      </c>
      <c r="M16" s="78"/>
      <c r="N16" s="82"/>
      <c r="O16" s="82"/>
      <c r="P16" s="82"/>
      <c r="Q16" s="83">
        <v>8.0</v>
      </c>
      <c r="R16" s="83">
        <v>260.0</v>
      </c>
      <c r="S16" s="83">
        <v>2.0</v>
      </c>
      <c r="T16" s="82"/>
      <c r="U16" s="82"/>
      <c r="V16" s="82"/>
      <c r="W16" s="82"/>
      <c r="X16" s="82"/>
      <c r="Y16" s="82"/>
      <c r="Z16" s="104"/>
      <c r="AA16" s="82"/>
      <c r="AB16" s="87"/>
    </row>
    <row r="17">
      <c r="A17" s="88"/>
      <c r="B17" s="89"/>
      <c r="C17" s="90"/>
      <c r="D17" s="90"/>
      <c r="E17" s="90"/>
      <c r="F17" s="90"/>
      <c r="G17" s="90"/>
      <c r="H17" s="91"/>
      <c r="I17" s="90"/>
      <c r="J17" s="92"/>
      <c r="K17" s="93"/>
      <c r="L17" s="94"/>
      <c r="M17" s="95"/>
      <c r="N17" s="96"/>
      <c r="O17" s="96"/>
      <c r="P17" s="96"/>
      <c r="Q17" s="97">
        <v>6.0</v>
      </c>
      <c r="R17" s="97">
        <v>220.0</v>
      </c>
      <c r="S17" s="97">
        <v>1.5</v>
      </c>
      <c r="T17" s="96"/>
      <c r="U17" s="96"/>
      <c r="V17" s="96"/>
      <c r="W17" s="96"/>
      <c r="X17" s="97" t="s">
        <v>52</v>
      </c>
      <c r="Y17" s="97" t="s">
        <v>18</v>
      </c>
      <c r="Z17" s="98">
        <v>0.4</v>
      </c>
      <c r="AA17" s="96"/>
      <c r="AB17" s="96"/>
    </row>
    <row r="18">
      <c r="A18" s="45" t="s">
        <v>54</v>
      </c>
      <c r="B18" s="57" t="s">
        <v>43</v>
      </c>
      <c r="C18" s="5">
        <f>if(B18=$T$3,$U$3,if(B18=$T$4,$U$4,if(B18=$T$10,$U$10,if(B18=$T$11,$U$11))))</f>
        <v>1.3</v>
      </c>
      <c r="D18" s="7" t="s">
        <v>47</v>
      </c>
      <c r="E18" s="58">
        <v>0.706</v>
      </c>
      <c r="F18" s="59">
        <v>2.0</v>
      </c>
      <c r="G18" s="60">
        <v>340.0</v>
      </c>
      <c r="H18" s="61" t="s">
        <v>33</v>
      </c>
      <c r="I18" s="62">
        <f>if(H18=$V$3,$W$3,if(H18=$V$4,$W$4,if(H18=$V$10,$W$10,if(H18=$V$11,$W$11,if(H18=$V$12,$W$12,if(H18=$V$13,$W$13))))))</f>
        <v>0.45</v>
      </c>
      <c r="J18" s="63">
        <f>C18*I18/((C18*I18)+(C19*(1-I18)))</f>
        <v>0.4804928131</v>
      </c>
      <c r="K18" s="64">
        <f>E18*F18*G18</f>
        <v>480.08</v>
      </c>
      <c r="L18" s="65">
        <f t="shared" ref="L18:L19" si="3">K18/K$27</f>
        <v>0.09508530013</v>
      </c>
      <c r="M18" s="66">
        <f>sum(L18:L19)</f>
        <v>0.1978912016</v>
      </c>
      <c r="N18" s="67"/>
      <c r="O18" s="67"/>
      <c r="P18" s="67"/>
      <c r="Q18" s="68">
        <v>10.0</v>
      </c>
      <c r="R18" s="68">
        <v>300.0</v>
      </c>
      <c r="S18" s="68">
        <v>2.5</v>
      </c>
      <c r="T18" s="67"/>
      <c r="U18" s="67"/>
      <c r="V18" s="67"/>
      <c r="W18" s="67"/>
      <c r="X18" s="68" t="s">
        <v>55</v>
      </c>
      <c r="Y18" s="68" t="s">
        <v>34</v>
      </c>
      <c r="Z18" s="99">
        <v>0.5</v>
      </c>
      <c r="AA18" s="67"/>
      <c r="AB18" s="72"/>
    </row>
    <row r="19">
      <c r="A19" s="73"/>
      <c r="B19" s="74" t="s">
        <v>48</v>
      </c>
      <c r="C19" s="75">
        <f>if(B19=$T$12,$U$12,if(B19=$T$13,$U$13))</f>
        <v>1.15</v>
      </c>
      <c r="D19" s="105" t="s">
        <v>47</v>
      </c>
      <c r="E19" s="101"/>
      <c r="F19" s="102"/>
      <c r="G19" s="103"/>
      <c r="H19" s="73"/>
      <c r="I19" s="78"/>
      <c r="J19" s="79">
        <f>1-J18</f>
        <v>0.5195071869</v>
      </c>
      <c r="K19" s="80">
        <f>J19*K18/J18</f>
        <v>519.0608547</v>
      </c>
      <c r="L19" s="81">
        <f t="shared" si="3"/>
        <v>0.1028059014</v>
      </c>
      <c r="M19" s="78"/>
      <c r="N19" s="82"/>
      <c r="O19" s="82"/>
      <c r="P19" s="82"/>
      <c r="Q19" s="83">
        <v>11.0</v>
      </c>
      <c r="R19" s="83">
        <v>340.0</v>
      </c>
      <c r="S19" s="83">
        <v>2.75</v>
      </c>
      <c r="T19" s="82"/>
      <c r="U19" s="82"/>
      <c r="V19" s="82"/>
      <c r="W19" s="82"/>
      <c r="X19" s="83" t="s">
        <v>55</v>
      </c>
      <c r="Y19" s="83" t="s">
        <v>56</v>
      </c>
      <c r="Z19" s="86">
        <v>0.4</v>
      </c>
      <c r="AA19" s="82"/>
      <c r="AB19" s="87"/>
    </row>
    <row r="20">
      <c r="A20" s="88"/>
      <c r="B20" s="89"/>
      <c r="C20" s="90"/>
      <c r="D20" s="90"/>
      <c r="E20" s="90"/>
      <c r="F20" s="90"/>
      <c r="G20" s="90"/>
      <c r="H20" s="91"/>
      <c r="I20" s="90"/>
      <c r="J20" s="92"/>
      <c r="K20" s="93"/>
      <c r="L20" s="94"/>
      <c r="M20" s="95"/>
      <c r="N20" s="96"/>
      <c r="O20" s="96"/>
      <c r="P20" s="96"/>
      <c r="Q20" s="97">
        <v>6.0</v>
      </c>
      <c r="R20" s="97">
        <v>220.0</v>
      </c>
      <c r="S20" s="97">
        <v>1.5</v>
      </c>
      <c r="T20" s="96"/>
      <c r="U20" s="96"/>
      <c r="V20" s="96"/>
      <c r="W20" s="96"/>
      <c r="X20" s="97" t="s">
        <v>52</v>
      </c>
      <c r="Y20" s="97" t="s">
        <v>18</v>
      </c>
      <c r="Z20" s="98">
        <v>0.4</v>
      </c>
      <c r="AA20" s="96"/>
      <c r="AB20" s="96"/>
    </row>
    <row r="21">
      <c r="A21" s="45" t="s">
        <v>57</v>
      </c>
      <c r="B21" s="57" t="s">
        <v>43</v>
      </c>
      <c r="C21" s="5">
        <f>if(B21=$T$3,$U$3,if(B21=$T$4,$U$4,if(B21=$T$10,$U$10,if(B21=$T$11,$U$11))))</f>
        <v>1.3</v>
      </c>
      <c r="D21" s="7" t="s">
        <v>47</v>
      </c>
      <c r="E21" s="58">
        <v>0.706</v>
      </c>
      <c r="F21" s="59">
        <v>2.0</v>
      </c>
      <c r="G21" s="60">
        <v>200.0</v>
      </c>
      <c r="H21" s="61" t="s">
        <v>33</v>
      </c>
      <c r="I21" s="62">
        <f>if(H21=$V$3,$W$3,if(H21=$V$4,$W$4,if(H21=$V$10,$W$10,if(H21=$V$11,$W$11,if(H21=$V$12,$W$12,if(H21=$V$13,$W$13))))))</f>
        <v>0.45</v>
      </c>
      <c r="J21" s="63">
        <f>C21*I21/((C21*I21)+(C22*(1-I21)))</f>
        <v>0.4804928131</v>
      </c>
      <c r="K21" s="64">
        <f>E21*F21*G21</f>
        <v>282.4</v>
      </c>
      <c r="L21" s="65">
        <f t="shared" ref="L21:L22" si="4">K21/K$27</f>
        <v>0.05593252949</v>
      </c>
      <c r="M21" s="66">
        <f>sum(L21:L22)</f>
        <v>0.1164065892</v>
      </c>
      <c r="N21" s="67"/>
      <c r="O21" s="67"/>
      <c r="P21" s="67"/>
      <c r="Q21" s="68">
        <v>13.0</v>
      </c>
      <c r="R21" s="68">
        <v>400.0</v>
      </c>
      <c r="S21" s="68">
        <v>3.25</v>
      </c>
      <c r="T21" s="67"/>
      <c r="U21" s="67"/>
      <c r="V21" s="67"/>
      <c r="W21" s="67"/>
      <c r="X21" s="68" t="s">
        <v>58</v>
      </c>
      <c r="Y21" s="68" t="s">
        <v>18</v>
      </c>
      <c r="Z21" s="99">
        <v>0.4</v>
      </c>
      <c r="AA21" s="67"/>
      <c r="AB21" s="72"/>
    </row>
    <row r="22">
      <c r="A22" s="73"/>
      <c r="B22" s="74" t="s">
        <v>48</v>
      </c>
      <c r="C22" s="75">
        <f>if(B22=$T$12,$U$12,if(B22=$T$13,$U$13))</f>
        <v>1.15</v>
      </c>
      <c r="D22" s="106" t="s">
        <v>47</v>
      </c>
      <c r="E22" s="101"/>
      <c r="F22" s="102"/>
      <c r="G22" s="103"/>
      <c r="H22" s="73"/>
      <c r="I22" s="78"/>
      <c r="J22" s="79">
        <f>1-J21</f>
        <v>0.5195071869</v>
      </c>
      <c r="K22" s="80">
        <f>J22*K21/J21</f>
        <v>305.3299145</v>
      </c>
      <c r="L22" s="81">
        <f t="shared" si="4"/>
        <v>0.06047405966</v>
      </c>
      <c r="M22" s="78"/>
      <c r="N22" s="82"/>
      <c r="O22" s="82"/>
      <c r="P22" s="82"/>
      <c r="Q22" s="83">
        <v>14.0</v>
      </c>
      <c r="R22" s="82"/>
      <c r="S22" s="83">
        <v>3.5</v>
      </c>
      <c r="T22" s="82"/>
      <c r="U22" s="82"/>
      <c r="V22" s="82"/>
      <c r="W22" s="82"/>
      <c r="X22" s="83" t="s">
        <v>58</v>
      </c>
      <c r="Y22" s="83" t="s">
        <v>34</v>
      </c>
      <c r="Z22" s="86">
        <v>0.35</v>
      </c>
      <c r="AA22" s="82"/>
      <c r="AB22" s="87"/>
    </row>
    <row r="23">
      <c r="A23" s="88"/>
      <c r="B23" s="89"/>
      <c r="C23" s="90"/>
      <c r="D23" s="90"/>
      <c r="E23" s="90"/>
      <c r="F23" s="90"/>
      <c r="G23" s="90"/>
      <c r="H23" s="91"/>
      <c r="I23" s="90"/>
      <c r="J23" s="92"/>
      <c r="K23" s="93"/>
      <c r="L23" s="94"/>
      <c r="M23" s="95"/>
      <c r="N23" s="96"/>
      <c r="O23" s="96"/>
      <c r="P23" s="96"/>
      <c r="Q23" s="97">
        <v>6.0</v>
      </c>
      <c r="R23" s="97">
        <v>220.0</v>
      </c>
      <c r="S23" s="97">
        <v>1.5</v>
      </c>
      <c r="T23" s="96"/>
      <c r="U23" s="96"/>
      <c r="V23" s="96"/>
      <c r="W23" s="96"/>
      <c r="X23" s="97" t="s">
        <v>52</v>
      </c>
      <c r="Y23" s="97" t="s">
        <v>18</v>
      </c>
      <c r="Z23" s="98">
        <v>0.4</v>
      </c>
      <c r="AA23" s="96"/>
      <c r="AB23" s="96"/>
    </row>
    <row r="24">
      <c r="A24" s="45" t="s">
        <v>59</v>
      </c>
      <c r="B24" s="57" t="s">
        <v>43</v>
      </c>
      <c r="C24" s="5">
        <f>if(B24=$T$3,$U$3,if(B24=$T$4,$U$4,if(B24=$T$10,$U$10,if(B24=$T$11,$U$11))))</f>
        <v>1.3</v>
      </c>
      <c r="D24" s="7" t="s">
        <v>47</v>
      </c>
      <c r="E24" s="58">
        <v>0.706</v>
      </c>
      <c r="F24" s="59">
        <v>2.0</v>
      </c>
      <c r="G24" s="60">
        <v>200.0</v>
      </c>
      <c r="H24" s="61" t="s">
        <v>17</v>
      </c>
      <c r="I24" s="62">
        <f>if(H24=$V$3,$W$3,if(H24=$V$4,$W$4,if(H24=$V$10,$W$10,if(H24=$V$11,$W$11,if(H24=$V$12,$W$12,if(H24=$V$13,$W$13))))))</f>
        <v>0.35</v>
      </c>
      <c r="J24" s="63">
        <f>C24*I24/((C24*I24)+(C25*(1-I24)))</f>
        <v>0.3783783784</v>
      </c>
      <c r="K24" s="64">
        <f>E24*F24*G24</f>
        <v>282.4</v>
      </c>
      <c r="L24" s="65">
        <f t="shared" ref="L24:L25" si="5">K24/K$27</f>
        <v>0.05593252949</v>
      </c>
      <c r="M24" s="66">
        <f>sum(L24:L25)</f>
        <v>0.1478216851</v>
      </c>
      <c r="N24" s="67"/>
      <c r="O24" s="67"/>
      <c r="P24" s="67"/>
      <c r="Q24" s="68">
        <v>16.0</v>
      </c>
      <c r="R24" s="67"/>
      <c r="S24" s="68">
        <v>4.0</v>
      </c>
      <c r="T24" s="67"/>
      <c r="U24" s="67"/>
      <c r="V24" s="67"/>
      <c r="W24" s="67"/>
      <c r="X24" s="67"/>
      <c r="Y24" s="67"/>
      <c r="Z24" s="67"/>
      <c r="AA24" s="67"/>
      <c r="AB24" s="72"/>
    </row>
    <row r="25">
      <c r="A25" s="73"/>
      <c r="B25" s="46" t="s">
        <v>48</v>
      </c>
      <c r="C25" s="107">
        <f>if(B25=$T$12,$U$12,if(B25=$T$13,$U$13))</f>
        <v>1.15</v>
      </c>
      <c r="D25" s="108" t="s">
        <v>47</v>
      </c>
      <c r="E25" s="109"/>
      <c r="F25" s="110"/>
      <c r="G25" s="111"/>
      <c r="H25" s="73"/>
      <c r="I25" s="78"/>
      <c r="J25" s="79">
        <f>1-J24</f>
        <v>0.6216216216</v>
      </c>
      <c r="K25" s="80">
        <f>J25*K24/J24</f>
        <v>463.9428571</v>
      </c>
      <c r="L25" s="81">
        <f t="shared" si="5"/>
        <v>0.09188915559</v>
      </c>
      <c r="M25" s="78"/>
      <c r="N25" s="82"/>
      <c r="O25" s="82"/>
      <c r="P25" s="82"/>
      <c r="Q25" s="83">
        <v>17.0</v>
      </c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7"/>
    </row>
    <row r="26">
      <c r="A26" s="88"/>
      <c r="B26" s="89"/>
      <c r="C26" s="90"/>
      <c r="D26" s="90"/>
      <c r="E26" s="90"/>
      <c r="F26" s="90"/>
      <c r="G26" s="90"/>
      <c r="H26" s="91"/>
      <c r="I26" s="90"/>
      <c r="J26" s="92"/>
      <c r="K26" s="93"/>
      <c r="L26" s="94"/>
      <c r="M26" s="95"/>
      <c r="N26" s="96"/>
      <c r="O26" s="96"/>
      <c r="P26" s="96"/>
      <c r="Q26" s="97">
        <v>6.0</v>
      </c>
      <c r="R26" s="97">
        <v>220.0</v>
      </c>
      <c r="S26" s="97">
        <v>1.5</v>
      </c>
      <c r="T26" s="96"/>
      <c r="U26" s="96"/>
      <c r="V26" s="96"/>
      <c r="W26" s="96"/>
      <c r="X26" s="97" t="s">
        <v>52</v>
      </c>
      <c r="Y26" s="97" t="s">
        <v>18</v>
      </c>
      <c r="Z26" s="98">
        <v>0.4</v>
      </c>
      <c r="AA26" s="96"/>
      <c r="AB26" s="96"/>
    </row>
    <row r="27">
      <c r="A27" s="88"/>
      <c r="B27" s="112"/>
      <c r="C27" s="95"/>
      <c r="D27" s="95"/>
      <c r="E27" s="95"/>
      <c r="F27" s="95"/>
      <c r="G27" s="95"/>
      <c r="H27" s="89"/>
      <c r="I27" s="89"/>
      <c r="J27" s="113" t="s">
        <v>60</v>
      </c>
      <c r="K27" s="114">
        <f>SUM(K12:K25)</f>
        <v>5048.94026</v>
      </c>
      <c r="L27" s="115" t="s">
        <v>61</v>
      </c>
      <c r="M27" s="116">
        <f>sum(M12:M25)</f>
        <v>1</v>
      </c>
      <c r="Q27" s="10">
        <v>19.0</v>
      </c>
    </row>
    <row r="28">
      <c r="A28" s="88"/>
      <c r="B28" s="112"/>
      <c r="C28" s="95"/>
      <c r="D28" s="95"/>
      <c r="E28" s="95"/>
      <c r="F28" s="95"/>
      <c r="G28" s="95"/>
      <c r="H28" s="90"/>
      <c r="I28" s="90"/>
      <c r="J28" s="16" t="s">
        <v>62</v>
      </c>
      <c r="K28" s="117">
        <f>K12+K15+K18+K21+K24</f>
        <v>2125.04</v>
      </c>
      <c r="L28" s="118" t="s">
        <v>61</v>
      </c>
      <c r="M28" s="14"/>
      <c r="Q28" s="10">
        <v>20.0</v>
      </c>
    </row>
    <row r="29">
      <c r="A29" s="88"/>
      <c r="B29" s="112"/>
      <c r="C29" s="95"/>
      <c r="D29" s="95"/>
      <c r="E29" s="95"/>
      <c r="F29" s="95"/>
      <c r="G29" s="95"/>
      <c r="H29" s="95"/>
      <c r="I29" s="90"/>
      <c r="J29" s="16" t="s">
        <v>63</v>
      </c>
      <c r="K29" s="119">
        <f>K28/K27</f>
        <v>0.4208883232</v>
      </c>
      <c r="L29" s="120"/>
      <c r="M29" s="14"/>
    </row>
    <row r="30">
      <c r="A30" s="88"/>
      <c r="B30" s="112"/>
      <c r="C30" s="95"/>
      <c r="D30" s="95"/>
      <c r="E30" s="95"/>
      <c r="F30" s="95"/>
      <c r="G30" s="95"/>
      <c r="H30" s="90"/>
      <c r="I30" s="90"/>
      <c r="J30" s="16" t="s">
        <v>64</v>
      </c>
      <c r="K30" s="117">
        <f>K27-K28</f>
        <v>2923.90026</v>
      </c>
      <c r="L30" s="118" t="s">
        <v>61</v>
      </c>
      <c r="M30" s="14"/>
    </row>
    <row r="31">
      <c r="A31" s="88"/>
      <c r="B31" s="112"/>
      <c r="C31" s="95"/>
      <c r="D31" s="95"/>
      <c r="E31" s="95"/>
      <c r="F31" s="95"/>
      <c r="G31" s="95"/>
      <c r="H31" s="95"/>
      <c r="I31" s="90"/>
      <c r="J31" s="16" t="s">
        <v>65</v>
      </c>
      <c r="K31" s="119">
        <f>1-K29</f>
        <v>0.5791116768</v>
      </c>
      <c r="L31" s="120"/>
      <c r="M31" s="14"/>
    </row>
  </sheetData>
  <mergeCells count="28">
    <mergeCell ref="A10:A11"/>
    <mergeCell ref="A12:A13"/>
    <mergeCell ref="A15:A16"/>
    <mergeCell ref="A18:A19"/>
    <mergeCell ref="A21:A22"/>
    <mergeCell ref="A24:A25"/>
    <mergeCell ref="A5:M5"/>
    <mergeCell ref="A7:B8"/>
    <mergeCell ref="C7:C8"/>
    <mergeCell ref="D7:M8"/>
    <mergeCell ref="C10:D11"/>
    <mergeCell ref="H10:H11"/>
    <mergeCell ref="K10:K11"/>
    <mergeCell ref="M15:M16"/>
    <mergeCell ref="M18:M19"/>
    <mergeCell ref="M21:M22"/>
    <mergeCell ref="M24:M25"/>
    <mergeCell ref="H21:H22"/>
    <mergeCell ref="I21:I22"/>
    <mergeCell ref="H24:H25"/>
    <mergeCell ref="I24:I25"/>
    <mergeCell ref="H12:H13"/>
    <mergeCell ref="I12:I13"/>
    <mergeCell ref="M12:M13"/>
    <mergeCell ref="H15:H16"/>
    <mergeCell ref="I15:I16"/>
    <mergeCell ref="H18:H19"/>
    <mergeCell ref="I18:I19"/>
  </mergeCells>
  <dataValidations>
    <dataValidation type="list" allowBlank="1" showErrorMessage="1" sqref="H12 H15 H18 H21 H24">
      <formula1>'Composite stacking calculation'!$V$3:$V$13</formula1>
    </dataValidation>
    <dataValidation type="list" allowBlank="1" showErrorMessage="1" sqref="E15 E18 E21 E24">
      <formula1>"0.0616,0.224,0.292,0.19,0.706"</formula1>
    </dataValidation>
    <dataValidation type="list" allowBlank="1" showErrorMessage="1" sqref="G12 G15 G18 G21 G24">
      <formula1>'Composite stacking calculation'!$R$3:$R$21</formula1>
    </dataValidation>
    <dataValidation type="list" allowBlank="1" showErrorMessage="1" sqref="B13 B16 B19 B22 B25">
      <formula1>'Composite stacking calculation'!$T$12:$T$13</formula1>
    </dataValidation>
    <dataValidation type="list" allowBlank="1" showErrorMessage="1" sqref="E12">
      <formula1>"0.0616,0.224,0.292,0.19,0.706,0.12,0.6,0.06"</formula1>
    </dataValidation>
    <dataValidation type="list" allowBlank="1" showErrorMessage="1" sqref="F12 F15 F18 F21 F24">
      <formula1>'Composite stacking calculation'!$Q$3:$Q$31</formula1>
    </dataValidation>
    <dataValidation type="list" allowBlank="1" showErrorMessage="1" sqref="B12 B15 B18 B21 B24">
      <formula1>'Composite stacking calculation'!$T$3:$T$11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38"/>
    <col customWidth="1" min="3" max="3" width="16.63"/>
    <col customWidth="1" min="4" max="4" width="17.88"/>
    <col customWidth="1" min="5" max="5" width="30.25"/>
  </cols>
  <sheetData>
    <row r="1">
      <c r="B1" s="14"/>
      <c r="E1" s="121"/>
    </row>
    <row r="2" ht="22.5" customHeight="1">
      <c r="A2" s="22"/>
      <c r="B2" s="122" t="s">
        <v>66</v>
      </c>
      <c r="C2" s="123" t="s">
        <v>67</v>
      </c>
      <c r="D2" s="123" t="s">
        <v>68</v>
      </c>
      <c r="E2" s="123" t="s">
        <v>69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22.5" customHeight="1">
      <c r="B3" s="124" t="s">
        <v>70</v>
      </c>
      <c r="C3" s="125" t="s">
        <v>14</v>
      </c>
      <c r="D3" s="125" t="s">
        <v>15</v>
      </c>
      <c r="E3" s="126">
        <v>0.55</v>
      </c>
    </row>
    <row r="4" ht="22.5" customHeight="1">
      <c r="B4" s="124" t="s">
        <v>70</v>
      </c>
      <c r="C4" s="125" t="s">
        <v>14</v>
      </c>
      <c r="D4" s="125" t="s">
        <v>18</v>
      </c>
      <c r="E4" s="126">
        <v>0.5</v>
      </c>
    </row>
    <row r="5" ht="22.5" customHeight="1">
      <c r="B5" s="124" t="s">
        <v>70</v>
      </c>
      <c r="C5" s="125" t="s">
        <v>14</v>
      </c>
      <c r="D5" s="125" t="s">
        <v>34</v>
      </c>
      <c r="E5" s="126">
        <v>0.45</v>
      </c>
    </row>
    <row r="6" ht="22.5" customHeight="1">
      <c r="B6" s="124" t="s">
        <v>70</v>
      </c>
      <c r="C6" s="125" t="s">
        <v>14</v>
      </c>
      <c r="D6" s="125" t="s">
        <v>45</v>
      </c>
      <c r="E6" s="126">
        <v>0.4</v>
      </c>
    </row>
    <row r="7" ht="22.5" customHeight="1">
      <c r="B7" s="127"/>
      <c r="E7" s="128"/>
    </row>
    <row r="8" ht="22.5" customHeight="1">
      <c r="B8" s="124" t="s">
        <v>70</v>
      </c>
      <c r="C8" s="125" t="s">
        <v>52</v>
      </c>
      <c r="D8" s="125" t="s">
        <v>15</v>
      </c>
      <c r="E8" s="126">
        <v>0.46</v>
      </c>
    </row>
    <row r="9" ht="22.5" customHeight="1">
      <c r="B9" s="124" t="s">
        <v>70</v>
      </c>
      <c r="C9" s="125" t="s">
        <v>52</v>
      </c>
      <c r="D9" s="125" t="s">
        <v>18</v>
      </c>
      <c r="E9" s="126">
        <v>0.4</v>
      </c>
    </row>
    <row r="10" ht="22.5" customHeight="1">
      <c r="B10" s="124" t="s">
        <v>70</v>
      </c>
      <c r="C10" s="125" t="s">
        <v>52</v>
      </c>
      <c r="D10" s="125" t="s">
        <v>34</v>
      </c>
      <c r="E10" s="126">
        <v>0.35</v>
      </c>
    </row>
    <row r="11" ht="22.5" customHeight="1">
      <c r="B11" s="127"/>
      <c r="E11" s="128"/>
    </row>
    <row r="12" ht="22.5" customHeight="1">
      <c r="B12" s="124" t="s">
        <v>70</v>
      </c>
      <c r="C12" s="125" t="s">
        <v>55</v>
      </c>
      <c r="D12" s="125" t="s">
        <v>18</v>
      </c>
      <c r="E12" s="126">
        <v>0.6</v>
      </c>
    </row>
    <row r="13" ht="22.5" customHeight="1">
      <c r="B13" s="124" t="s">
        <v>70</v>
      </c>
      <c r="C13" s="125" t="s">
        <v>55</v>
      </c>
      <c r="D13" s="125" t="s">
        <v>34</v>
      </c>
      <c r="E13" s="126">
        <v>0.5</v>
      </c>
    </row>
    <row r="14" ht="22.5" customHeight="1">
      <c r="B14" s="124" t="s">
        <v>70</v>
      </c>
      <c r="C14" s="125" t="s">
        <v>55</v>
      </c>
      <c r="D14" s="125" t="s">
        <v>56</v>
      </c>
      <c r="E14" s="126">
        <v>0.4</v>
      </c>
    </row>
    <row r="15" ht="22.5" customHeight="1">
      <c r="B15" s="127"/>
      <c r="E15" s="126"/>
    </row>
    <row r="16" ht="22.5" customHeight="1">
      <c r="B16" s="124" t="s">
        <v>70</v>
      </c>
      <c r="C16" s="125" t="s">
        <v>58</v>
      </c>
      <c r="D16" s="125" t="s">
        <v>18</v>
      </c>
      <c r="E16" s="126">
        <v>0.4</v>
      </c>
    </row>
    <row r="17" ht="22.5" customHeight="1">
      <c r="B17" s="124" t="s">
        <v>70</v>
      </c>
      <c r="C17" s="125" t="s">
        <v>58</v>
      </c>
      <c r="D17" s="125" t="s">
        <v>34</v>
      </c>
      <c r="E17" s="126">
        <v>0.35</v>
      </c>
    </row>
    <row r="18">
      <c r="B18" s="14"/>
      <c r="E18" s="121"/>
    </row>
    <row r="19">
      <c r="B19" s="14"/>
      <c r="E19" s="121"/>
    </row>
    <row r="20">
      <c r="B20" s="14"/>
      <c r="E20" s="121"/>
    </row>
    <row r="21">
      <c r="B21" s="14"/>
      <c r="E21" s="121"/>
    </row>
    <row r="22">
      <c r="B22" s="14"/>
      <c r="E22" s="121"/>
    </row>
    <row r="23">
      <c r="B23" s="14"/>
      <c r="E23" s="121"/>
    </row>
    <row r="24">
      <c r="B24" s="14"/>
      <c r="E24" s="121"/>
    </row>
    <row r="25">
      <c r="B25" s="14"/>
      <c r="E25" s="121"/>
    </row>
    <row r="26">
      <c r="B26" s="14"/>
      <c r="E26" s="121"/>
    </row>
    <row r="27">
      <c r="B27" s="14"/>
      <c r="E27" s="121"/>
    </row>
    <row r="28">
      <c r="B28" s="14"/>
      <c r="E28" s="121"/>
    </row>
    <row r="29">
      <c r="B29" s="14"/>
      <c r="E29" s="121"/>
    </row>
    <row r="30">
      <c r="B30" s="14"/>
      <c r="E30" s="121"/>
    </row>
    <row r="31">
      <c r="B31" s="14"/>
      <c r="E31" s="121"/>
    </row>
    <row r="32">
      <c r="B32" s="14"/>
      <c r="E32" s="121"/>
    </row>
    <row r="33">
      <c r="B33" s="14"/>
      <c r="E33" s="121"/>
    </row>
    <row r="34">
      <c r="B34" s="14"/>
      <c r="E34" s="121"/>
    </row>
    <row r="35">
      <c r="B35" s="14"/>
      <c r="E35" s="121"/>
    </row>
    <row r="36">
      <c r="B36" s="14"/>
      <c r="E36" s="121"/>
    </row>
    <row r="37">
      <c r="B37" s="14"/>
      <c r="E37" s="121"/>
    </row>
    <row r="38">
      <c r="B38" s="14"/>
      <c r="E38" s="121"/>
    </row>
    <row r="39">
      <c r="B39" s="14"/>
      <c r="E39" s="121"/>
    </row>
    <row r="40">
      <c r="B40" s="14"/>
      <c r="E40" s="121"/>
    </row>
    <row r="41">
      <c r="B41" s="14"/>
      <c r="E41" s="121"/>
    </row>
    <row r="42">
      <c r="B42" s="14"/>
      <c r="E42" s="121"/>
    </row>
    <row r="43">
      <c r="B43" s="14"/>
      <c r="E43" s="121"/>
    </row>
    <row r="44">
      <c r="B44" s="14"/>
      <c r="E44" s="121"/>
    </row>
    <row r="45">
      <c r="B45" s="14"/>
      <c r="E45" s="121"/>
    </row>
    <row r="46">
      <c r="B46" s="14"/>
      <c r="E46" s="121"/>
    </row>
    <row r="47">
      <c r="B47" s="14"/>
      <c r="E47" s="121"/>
    </row>
    <row r="48">
      <c r="B48" s="14"/>
      <c r="E48" s="121"/>
    </row>
    <row r="49">
      <c r="B49" s="14"/>
      <c r="E49" s="121"/>
    </row>
    <row r="50">
      <c r="B50" s="14"/>
      <c r="E50" s="121"/>
    </row>
    <row r="51">
      <c r="B51" s="14"/>
      <c r="E51" s="121"/>
    </row>
    <row r="52">
      <c r="B52" s="14"/>
      <c r="E52" s="121"/>
    </row>
    <row r="53">
      <c r="B53" s="14"/>
      <c r="E53" s="121"/>
    </row>
    <row r="54">
      <c r="B54" s="14"/>
      <c r="E54" s="121"/>
    </row>
    <row r="55">
      <c r="B55" s="14"/>
      <c r="E55" s="121"/>
    </row>
    <row r="56">
      <c r="B56" s="14"/>
      <c r="E56" s="121"/>
    </row>
    <row r="57">
      <c r="B57" s="14"/>
      <c r="E57" s="121"/>
    </row>
    <row r="58">
      <c r="B58" s="14"/>
      <c r="E58" s="121"/>
    </row>
    <row r="59">
      <c r="B59" s="14"/>
      <c r="E59" s="121"/>
    </row>
    <row r="60">
      <c r="B60" s="14"/>
      <c r="E60" s="121"/>
    </row>
    <row r="61">
      <c r="B61" s="14"/>
      <c r="E61" s="121"/>
    </row>
    <row r="62">
      <c r="B62" s="14"/>
      <c r="E62" s="121"/>
    </row>
    <row r="63">
      <c r="B63" s="14"/>
      <c r="E63" s="121"/>
    </row>
    <row r="64">
      <c r="B64" s="14"/>
      <c r="E64" s="121"/>
    </row>
    <row r="65">
      <c r="B65" s="14"/>
      <c r="E65" s="121"/>
    </row>
    <row r="66">
      <c r="B66" s="14"/>
      <c r="E66" s="121"/>
    </row>
    <row r="67">
      <c r="B67" s="14"/>
      <c r="E67" s="121"/>
    </row>
    <row r="68">
      <c r="B68" s="14"/>
      <c r="E68" s="121"/>
    </row>
    <row r="69">
      <c r="B69" s="14"/>
      <c r="E69" s="121"/>
    </row>
    <row r="70">
      <c r="B70" s="14"/>
      <c r="E70" s="121"/>
    </row>
    <row r="71">
      <c r="B71" s="14"/>
      <c r="E71" s="121"/>
    </row>
    <row r="72">
      <c r="B72" s="14"/>
      <c r="E72" s="121"/>
    </row>
    <row r="73">
      <c r="B73" s="14"/>
      <c r="E73" s="121"/>
    </row>
    <row r="74">
      <c r="B74" s="14"/>
      <c r="E74" s="121"/>
    </row>
    <row r="75">
      <c r="B75" s="14"/>
      <c r="E75" s="121"/>
    </row>
    <row r="76">
      <c r="B76" s="14"/>
      <c r="E76" s="121"/>
    </row>
    <row r="77">
      <c r="B77" s="14"/>
      <c r="E77" s="121"/>
    </row>
    <row r="78">
      <c r="B78" s="14"/>
      <c r="E78" s="121"/>
    </row>
    <row r="79">
      <c r="B79" s="14"/>
      <c r="E79" s="121"/>
    </row>
    <row r="80">
      <c r="B80" s="14"/>
      <c r="E80" s="121"/>
    </row>
    <row r="81">
      <c r="B81" s="14"/>
      <c r="E81" s="121"/>
    </row>
    <row r="82">
      <c r="B82" s="14"/>
      <c r="E82" s="121"/>
    </row>
    <row r="83">
      <c r="B83" s="14"/>
      <c r="E83" s="121"/>
    </row>
    <row r="84">
      <c r="B84" s="14"/>
      <c r="E84" s="121"/>
    </row>
    <row r="85">
      <c r="B85" s="14"/>
      <c r="E85" s="121"/>
    </row>
    <row r="86">
      <c r="B86" s="14"/>
      <c r="E86" s="121"/>
    </row>
    <row r="87">
      <c r="B87" s="14"/>
      <c r="E87" s="121"/>
    </row>
    <row r="88">
      <c r="B88" s="14"/>
      <c r="E88" s="121"/>
    </row>
    <row r="89">
      <c r="B89" s="14"/>
      <c r="E89" s="121"/>
    </row>
    <row r="90">
      <c r="B90" s="14"/>
      <c r="E90" s="121"/>
    </row>
    <row r="91">
      <c r="B91" s="14"/>
      <c r="E91" s="121"/>
    </row>
    <row r="92">
      <c r="B92" s="14"/>
      <c r="E92" s="121"/>
    </row>
    <row r="93">
      <c r="B93" s="14"/>
      <c r="E93" s="121"/>
    </row>
    <row r="94">
      <c r="B94" s="14"/>
      <c r="E94" s="121"/>
    </row>
    <row r="95">
      <c r="B95" s="14"/>
      <c r="E95" s="121"/>
    </row>
    <row r="96">
      <c r="B96" s="14"/>
      <c r="E96" s="121"/>
    </row>
    <row r="97">
      <c r="B97" s="14"/>
      <c r="E97" s="121"/>
    </row>
    <row r="98">
      <c r="B98" s="14"/>
      <c r="E98" s="121"/>
    </row>
    <row r="99">
      <c r="B99" s="14"/>
      <c r="E99" s="121"/>
    </row>
    <row r="100">
      <c r="B100" s="14"/>
      <c r="E100" s="121"/>
    </row>
    <row r="101">
      <c r="B101" s="14"/>
      <c r="E101" s="121"/>
    </row>
    <row r="102">
      <c r="B102" s="14"/>
      <c r="E102" s="121"/>
    </row>
    <row r="103">
      <c r="B103" s="14"/>
      <c r="E103" s="121"/>
    </row>
    <row r="104">
      <c r="B104" s="14"/>
      <c r="E104" s="121"/>
    </row>
    <row r="105">
      <c r="B105" s="14"/>
      <c r="E105" s="121"/>
    </row>
    <row r="106">
      <c r="B106" s="14"/>
      <c r="E106" s="121"/>
    </row>
    <row r="107">
      <c r="B107" s="14"/>
      <c r="E107" s="121"/>
    </row>
    <row r="108">
      <c r="B108" s="14"/>
      <c r="E108" s="121"/>
    </row>
    <row r="109">
      <c r="B109" s="14"/>
      <c r="E109" s="121"/>
    </row>
    <row r="110">
      <c r="B110" s="14"/>
      <c r="E110" s="121"/>
    </row>
    <row r="111">
      <c r="B111" s="14"/>
      <c r="E111" s="121"/>
    </row>
    <row r="112">
      <c r="B112" s="14"/>
      <c r="E112" s="121"/>
    </row>
    <row r="113">
      <c r="B113" s="14"/>
      <c r="E113" s="121"/>
    </row>
    <row r="114">
      <c r="B114" s="14"/>
      <c r="E114" s="121"/>
    </row>
    <row r="115">
      <c r="B115" s="14"/>
      <c r="E115" s="121"/>
    </row>
    <row r="116">
      <c r="B116" s="14"/>
      <c r="E116" s="121"/>
    </row>
    <row r="117">
      <c r="B117" s="14"/>
      <c r="E117" s="121"/>
    </row>
    <row r="118">
      <c r="B118" s="14"/>
      <c r="E118" s="121"/>
    </row>
    <row r="119">
      <c r="B119" s="14"/>
      <c r="E119" s="121"/>
    </row>
    <row r="120">
      <c r="B120" s="14"/>
      <c r="E120" s="121"/>
    </row>
    <row r="121">
      <c r="B121" s="14"/>
      <c r="E121" s="121"/>
    </row>
    <row r="122">
      <c r="B122" s="14"/>
      <c r="E122" s="121"/>
    </row>
    <row r="123">
      <c r="B123" s="14"/>
      <c r="E123" s="121"/>
    </row>
    <row r="124">
      <c r="B124" s="14"/>
      <c r="E124" s="121"/>
    </row>
    <row r="125">
      <c r="B125" s="14"/>
      <c r="E125" s="121"/>
    </row>
    <row r="126">
      <c r="B126" s="14"/>
      <c r="E126" s="121"/>
    </row>
    <row r="127">
      <c r="B127" s="14"/>
      <c r="E127" s="121"/>
    </row>
    <row r="128">
      <c r="B128" s="14"/>
      <c r="E128" s="121"/>
    </row>
    <row r="129">
      <c r="B129" s="14"/>
      <c r="E129" s="121"/>
    </row>
    <row r="130">
      <c r="B130" s="14"/>
      <c r="E130" s="121"/>
    </row>
    <row r="131">
      <c r="B131" s="14"/>
      <c r="E131" s="121"/>
    </row>
    <row r="132">
      <c r="B132" s="14"/>
      <c r="E132" s="121"/>
    </row>
    <row r="133">
      <c r="B133" s="14"/>
      <c r="E133" s="121"/>
    </row>
    <row r="134">
      <c r="B134" s="14"/>
      <c r="E134" s="121"/>
    </row>
    <row r="135">
      <c r="B135" s="14"/>
      <c r="E135" s="121"/>
    </row>
    <row r="136">
      <c r="B136" s="14"/>
      <c r="E136" s="121"/>
    </row>
    <row r="137">
      <c r="B137" s="14"/>
      <c r="E137" s="121"/>
    </row>
    <row r="138">
      <c r="B138" s="14"/>
      <c r="E138" s="121"/>
    </row>
    <row r="139">
      <c r="B139" s="14"/>
      <c r="E139" s="121"/>
    </row>
    <row r="140">
      <c r="B140" s="14"/>
      <c r="E140" s="121"/>
    </row>
    <row r="141">
      <c r="B141" s="14"/>
      <c r="E141" s="121"/>
    </row>
    <row r="142">
      <c r="B142" s="14"/>
      <c r="E142" s="121"/>
    </row>
    <row r="143">
      <c r="B143" s="14"/>
      <c r="E143" s="121"/>
    </row>
    <row r="144">
      <c r="B144" s="14"/>
      <c r="E144" s="121"/>
    </row>
    <row r="145">
      <c r="B145" s="14"/>
      <c r="E145" s="121"/>
    </row>
    <row r="146">
      <c r="B146" s="14"/>
      <c r="E146" s="121"/>
    </row>
    <row r="147">
      <c r="B147" s="14"/>
      <c r="E147" s="121"/>
    </row>
    <row r="148">
      <c r="B148" s="14"/>
      <c r="E148" s="121"/>
    </row>
    <row r="149">
      <c r="B149" s="14"/>
      <c r="E149" s="121"/>
    </row>
    <row r="150">
      <c r="B150" s="14"/>
      <c r="E150" s="121"/>
    </row>
    <row r="151">
      <c r="B151" s="14"/>
      <c r="E151" s="121"/>
    </row>
    <row r="152">
      <c r="B152" s="14"/>
      <c r="E152" s="121"/>
    </row>
    <row r="153">
      <c r="B153" s="14"/>
      <c r="E153" s="121"/>
    </row>
    <row r="154">
      <c r="B154" s="14"/>
      <c r="E154" s="121"/>
    </row>
    <row r="155">
      <c r="B155" s="14"/>
      <c r="E155" s="121"/>
    </row>
    <row r="156">
      <c r="B156" s="14"/>
      <c r="E156" s="121"/>
    </row>
    <row r="157">
      <c r="B157" s="14"/>
      <c r="E157" s="121"/>
    </row>
    <row r="158">
      <c r="B158" s="14"/>
      <c r="E158" s="121"/>
    </row>
    <row r="159">
      <c r="B159" s="14"/>
      <c r="E159" s="121"/>
    </row>
    <row r="160">
      <c r="B160" s="14"/>
      <c r="E160" s="121"/>
    </row>
    <row r="161">
      <c r="B161" s="14"/>
      <c r="E161" s="121"/>
    </row>
    <row r="162">
      <c r="B162" s="14"/>
      <c r="E162" s="121"/>
    </row>
    <row r="163">
      <c r="B163" s="14"/>
      <c r="E163" s="121"/>
    </row>
    <row r="164">
      <c r="B164" s="14"/>
      <c r="E164" s="121"/>
    </row>
    <row r="165">
      <c r="B165" s="14"/>
      <c r="E165" s="121"/>
    </row>
    <row r="166">
      <c r="B166" s="14"/>
      <c r="E166" s="121"/>
    </row>
    <row r="167">
      <c r="B167" s="14"/>
      <c r="E167" s="121"/>
    </row>
    <row r="168">
      <c r="B168" s="14"/>
      <c r="E168" s="121"/>
    </row>
    <row r="169">
      <c r="B169" s="14"/>
      <c r="E169" s="121"/>
    </row>
    <row r="170">
      <c r="B170" s="14"/>
      <c r="E170" s="121"/>
    </row>
    <row r="171">
      <c r="B171" s="14"/>
      <c r="E171" s="121"/>
    </row>
    <row r="172">
      <c r="B172" s="14"/>
      <c r="E172" s="121"/>
    </row>
    <row r="173">
      <c r="B173" s="14"/>
      <c r="E173" s="121"/>
    </row>
    <row r="174">
      <c r="B174" s="14"/>
      <c r="E174" s="121"/>
    </row>
    <row r="175">
      <c r="B175" s="14"/>
      <c r="E175" s="121"/>
    </row>
    <row r="176">
      <c r="B176" s="14"/>
      <c r="E176" s="121"/>
    </row>
    <row r="177">
      <c r="B177" s="14"/>
      <c r="E177" s="121"/>
    </row>
    <row r="178">
      <c r="B178" s="14"/>
      <c r="E178" s="121"/>
    </row>
    <row r="179">
      <c r="B179" s="14"/>
      <c r="E179" s="121"/>
    </row>
    <row r="180">
      <c r="B180" s="14"/>
      <c r="E180" s="121"/>
    </row>
    <row r="181">
      <c r="B181" s="14"/>
      <c r="E181" s="121"/>
    </row>
    <row r="182">
      <c r="B182" s="14"/>
      <c r="E182" s="121"/>
    </row>
    <row r="183">
      <c r="B183" s="14"/>
      <c r="E183" s="121"/>
    </row>
    <row r="184">
      <c r="B184" s="14"/>
      <c r="E184" s="121"/>
    </row>
    <row r="185">
      <c r="B185" s="14"/>
      <c r="E185" s="121"/>
    </row>
    <row r="186">
      <c r="B186" s="14"/>
      <c r="E186" s="121"/>
    </row>
    <row r="187">
      <c r="B187" s="14"/>
      <c r="E187" s="121"/>
    </row>
    <row r="188">
      <c r="B188" s="14"/>
      <c r="E188" s="121"/>
    </row>
    <row r="189">
      <c r="B189" s="14"/>
      <c r="E189" s="121"/>
    </row>
    <row r="190">
      <c r="B190" s="14"/>
      <c r="E190" s="121"/>
    </row>
    <row r="191">
      <c r="B191" s="14"/>
      <c r="E191" s="121"/>
    </row>
    <row r="192">
      <c r="B192" s="14"/>
      <c r="E192" s="121"/>
    </row>
    <row r="193">
      <c r="B193" s="14"/>
      <c r="E193" s="121"/>
    </row>
    <row r="194">
      <c r="B194" s="14"/>
      <c r="E194" s="121"/>
    </row>
    <row r="195">
      <c r="B195" s="14"/>
      <c r="E195" s="121"/>
    </row>
    <row r="196">
      <c r="B196" s="14"/>
      <c r="E196" s="121"/>
    </row>
    <row r="197">
      <c r="B197" s="14"/>
      <c r="E197" s="121"/>
    </row>
    <row r="198">
      <c r="B198" s="14"/>
      <c r="E198" s="121"/>
    </row>
    <row r="199">
      <c r="B199" s="14"/>
      <c r="E199" s="121"/>
    </row>
    <row r="200">
      <c r="B200" s="14"/>
      <c r="E200" s="121"/>
    </row>
    <row r="201">
      <c r="B201" s="14"/>
      <c r="E201" s="121"/>
    </row>
    <row r="202">
      <c r="B202" s="14"/>
      <c r="E202" s="121"/>
    </row>
    <row r="203">
      <c r="B203" s="14"/>
      <c r="E203" s="121"/>
    </row>
    <row r="204">
      <c r="B204" s="14"/>
      <c r="E204" s="121"/>
    </row>
    <row r="205">
      <c r="B205" s="14"/>
      <c r="E205" s="121"/>
    </row>
    <row r="206">
      <c r="B206" s="14"/>
      <c r="E206" s="121"/>
    </row>
    <row r="207">
      <c r="B207" s="14"/>
      <c r="E207" s="121"/>
    </row>
    <row r="208">
      <c r="B208" s="14"/>
      <c r="E208" s="121"/>
    </row>
    <row r="209">
      <c r="B209" s="14"/>
      <c r="E209" s="121"/>
    </row>
    <row r="210">
      <c r="B210" s="14"/>
      <c r="E210" s="121"/>
    </row>
    <row r="211">
      <c r="B211" s="14"/>
      <c r="E211" s="121"/>
    </row>
    <row r="212">
      <c r="B212" s="14"/>
      <c r="E212" s="121"/>
    </row>
    <row r="213">
      <c r="B213" s="14"/>
      <c r="E213" s="121"/>
    </row>
    <row r="214">
      <c r="B214" s="14"/>
      <c r="E214" s="121"/>
    </row>
    <row r="215">
      <c r="B215" s="14"/>
      <c r="E215" s="121"/>
    </row>
    <row r="216">
      <c r="B216" s="14"/>
      <c r="E216" s="121"/>
    </row>
    <row r="217">
      <c r="B217" s="14"/>
      <c r="E217" s="121"/>
    </row>
    <row r="218">
      <c r="B218" s="14"/>
      <c r="E218" s="121"/>
    </row>
    <row r="219">
      <c r="B219" s="14"/>
      <c r="E219" s="121"/>
    </row>
    <row r="220">
      <c r="B220" s="14"/>
      <c r="E220" s="121"/>
    </row>
    <row r="221">
      <c r="B221" s="14"/>
      <c r="E221" s="121"/>
    </row>
    <row r="222">
      <c r="B222" s="14"/>
      <c r="E222" s="121"/>
    </row>
    <row r="223">
      <c r="B223" s="14"/>
      <c r="E223" s="121"/>
    </row>
    <row r="224">
      <c r="B224" s="14"/>
      <c r="E224" s="121"/>
    </row>
    <row r="225">
      <c r="B225" s="14"/>
      <c r="E225" s="121"/>
    </row>
    <row r="226">
      <c r="B226" s="14"/>
      <c r="E226" s="121"/>
    </row>
    <row r="227">
      <c r="B227" s="14"/>
      <c r="E227" s="121"/>
    </row>
    <row r="228">
      <c r="B228" s="14"/>
      <c r="E228" s="121"/>
    </row>
    <row r="229">
      <c r="B229" s="14"/>
      <c r="E229" s="121"/>
    </row>
    <row r="230">
      <c r="B230" s="14"/>
      <c r="E230" s="121"/>
    </row>
    <row r="231">
      <c r="B231" s="14"/>
      <c r="E231" s="121"/>
    </row>
    <row r="232">
      <c r="B232" s="14"/>
      <c r="E232" s="121"/>
    </row>
    <row r="233">
      <c r="B233" s="14"/>
      <c r="E233" s="121"/>
    </row>
    <row r="234">
      <c r="B234" s="14"/>
      <c r="E234" s="121"/>
    </row>
    <row r="235">
      <c r="B235" s="14"/>
      <c r="E235" s="121"/>
    </row>
    <row r="236">
      <c r="B236" s="14"/>
      <c r="E236" s="121"/>
    </row>
    <row r="237">
      <c r="B237" s="14"/>
      <c r="E237" s="121"/>
    </row>
    <row r="238">
      <c r="B238" s="14"/>
      <c r="E238" s="121"/>
    </row>
    <row r="239">
      <c r="B239" s="14"/>
      <c r="E239" s="121"/>
    </row>
    <row r="240">
      <c r="B240" s="14"/>
      <c r="E240" s="121"/>
    </row>
    <row r="241">
      <c r="B241" s="14"/>
      <c r="E241" s="121"/>
    </row>
    <row r="242">
      <c r="B242" s="14"/>
      <c r="E242" s="121"/>
    </row>
    <row r="243">
      <c r="B243" s="14"/>
      <c r="E243" s="121"/>
    </row>
    <row r="244">
      <c r="B244" s="14"/>
      <c r="E244" s="121"/>
    </row>
    <row r="245">
      <c r="B245" s="14"/>
      <c r="E245" s="121"/>
    </row>
    <row r="246">
      <c r="B246" s="14"/>
      <c r="E246" s="121"/>
    </row>
    <row r="247">
      <c r="B247" s="14"/>
      <c r="E247" s="121"/>
    </row>
    <row r="248">
      <c r="B248" s="14"/>
      <c r="E248" s="121"/>
    </row>
    <row r="249">
      <c r="B249" s="14"/>
      <c r="E249" s="121"/>
    </row>
    <row r="250">
      <c r="B250" s="14"/>
      <c r="E250" s="121"/>
    </row>
    <row r="251">
      <c r="B251" s="14"/>
      <c r="E251" s="121"/>
    </row>
    <row r="252">
      <c r="B252" s="14"/>
      <c r="E252" s="121"/>
    </row>
    <row r="253">
      <c r="B253" s="14"/>
      <c r="E253" s="121"/>
    </row>
    <row r="254">
      <c r="B254" s="14"/>
      <c r="E254" s="121"/>
    </row>
    <row r="255">
      <c r="B255" s="14"/>
      <c r="E255" s="121"/>
    </row>
    <row r="256">
      <c r="B256" s="14"/>
      <c r="E256" s="121"/>
    </row>
    <row r="257">
      <c r="B257" s="14"/>
      <c r="E257" s="121"/>
    </row>
    <row r="258">
      <c r="B258" s="14"/>
      <c r="E258" s="121"/>
    </row>
    <row r="259">
      <c r="B259" s="14"/>
      <c r="E259" s="121"/>
    </row>
    <row r="260">
      <c r="B260" s="14"/>
      <c r="E260" s="121"/>
    </row>
    <row r="261">
      <c r="B261" s="14"/>
      <c r="E261" s="121"/>
    </row>
    <row r="262">
      <c r="B262" s="14"/>
      <c r="E262" s="121"/>
    </row>
    <row r="263">
      <c r="B263" s="14"/>
      <c r="E263" s="121"/>
    </row>
    <row r="264">
      <c r="B264" s="14"/>
      <c r="E264" s="121"/>
    </row>
    <row r="265">
      <c r="B265" s="14"/>
      <c r="E265" s="121"/>
    </row>
    <row r="266">
      <c r="B266" s="14"/>
      <c r="E266" s="121"/>
    </row>
    <row r="267">
      <c r="B267" s="14"/>
      <c r="E267" s="121"/>
    </row>
    <row r="268">
      <c r="B268" s="14"/>
      <c r="E268" s="121"/>
    </row>
    <row r="269">
      <c r="B269" s="14"/>
      <c r="E269" s="121"/>
    </row>
    <row r="270">
      <c r="B270" s="14"/>
      <c r="E270" s="121"/>
    </row>
    <row r="271">
      <c r="B271" s="14"/>
      <c r="E271" s="121"/>
    </row>
    <row r="272">
      <c r="B272" s="14"/>
      <c r="E272" s="121"/>
    </row>
    <row r="273">
      <c r="B273" s="14"/>
      <c r="E273" s="121"/>
    </row>
    <row r="274">
      <c r="B274" s="14"/>
      <c r="E274" s="121"/>
    </row>
    <row r="275">
      <c r="B275" s="14"/>
      <c r="E275" s="121"/>
    </row>
    <row r="276">
      <c r="B276" s="14"/>
      <c r="E276" s="121"/>
    </row>
    <row r="277">
      <c r="B277" s="14"/>
      <c r="E277" s="121"/>
    </row>
    <row r="278">
      <c r="B278" s="14"/>
      <c r="E278" s="121"/>
    </row>
    <row r="279">
      <c r="B279" s="14"/>
      <c r="E279" s="121"/>
    </row>
    <row r="280">
      <c r="B280" s="14"/>
      <c r="E280" s="121"/>
    </row>
    <row r="281">
      <c r="B281" s="14"/>
      <c r="E281" s="121"/>
    </row>
    <row r="282">
      <c r="B282" s="14"/>
      <c r="E282" s="121"/>
    </row>
    <row r="283">
      <c r="B283" s="14"/>
      <c r="E283" s="121"/>
    </row>
    <row r="284">
      <c r="B284" s="14"/>
      <c r="E284" s="121"/>
    </row>
    <row r="285">
      <c r="B285" s="14"/>
      <c r="E285" s="121"/>
    </row>
    <row r="286">
      <c r="B286" s="14"/>
      <c r="E286" s="121"/>
    </row>
    <row r="287">
      <c r="B287" s="14"/>
      <c r="E287" s="121"/>
    </row>
    <row r="288">
      <c r="B288" s="14"/>
      <c r="E288" s="121"/>
    </row>
    <row r="289">
      <c r="B289" s="14"/>
      <c r="E289" s="121"/>
    </row>
    <row r="290">
      <c r="B290" s="14"/>
      <c r="E290" s="121"/>
    </row>
    <row r="291">
      <c r="B291" s="14"/>
      <c r="E291" s="121"/>
    </row>
    <row r="292">
      <c r="B292" s="14"/>
      <c r="E292" s="121"/>
    </row>
    <row r="293">
      <c r="B293" s="14"/>
      <c r="E293" s="121"/>
    </row>
    <row r="294">
      <c r="B294" s="14"/>
      <c r="E294" s="121"/>
    </row>
    <row r="295">
      <c r="B295" s="14"/>
      <c r="E295" s="121"/>
    </row>
    <row r="296">
      <c r="B296" s="14"/>
      <c r="E296" s="121"/>
    </row>
    <row r="297">
      <c r="B297" s="14"/>
      <c r="E297" s="121"/>
    </row>
    <row r="298">
      <c r="B298" s="14"/>
      <c r="E298" s="121"/>
    </row>
    <row r="299">
      <c r="B299" s="14"/>
      <c r="E299" s="121"/>
    </row>
    <row r="300">
      <c r="B300" s="14"/>
      <c r="E300" s="121"/>
    </row>
    <row r="301">
      <c r="B301" s="14"/>
      <c r="E301" s="121"/>
    </row>
    <row r="302">
      <c r="B302" s="14"/>
      <c r="E302" s="121"/>
    </row>
    <row r="303">
      <c r="B303" s="14"/>
      <c r="E303" s="121"/>
    </row>
    <row r="304">
      <c r="B304" s="14"/>
      <c r="E304" s="121"/>
    </row>
    <row r="305">
      <c r="B305" s="14"/>
      <c r="E305" s="121"/>
    </row>
    <row r="306">
      <c r="B306" s="14"/>
      <c r="E306" s="121"/>
    </row>
    <row r="307">
      <c r="B307" s="14"/>
      <c r="E307" s="121"/>
    </row>
    <row r="308">
      <c r="B308" s="14"/>
      <c r="E308" s="121"/>
    </row>
    <row r="309">
      <c r="B309" s="14"/>
      <c r="E309" s="121"/>
    </row>
    <row r="310">
      <c r="B310" s="14"/>
      <c r="E310" s="121"/>
    </row>
    <row r="311">
      <c r="B311" s="14"/>
      <c r="E311" s="121"/>
    </row>
    <row r="312">
      <c r="B312" s="14"/>
      <c r="E312" s="121"/>
    </row>
    <row r="313">
      <c r="B313" s="14"/>
      <c r="E313" s="121"/>
    </row>
    <row r="314">
      <c r="B314" s="14"/>
      <c r="E314" s="121"/>
    </row>
    <row r="315">
      <c r="B315" s="14"/>
      <c r="E315" s="121"/>
    </row>
    <row r="316">
      <c r="B316" s="14"/>
      <c r="E316" s="121"/>
    </row>
    <row r="317">
      <c r="B317" s="14"/>
      <c r="E317" s="121"/>
    </row>
    <row r="318">
      <c r="B318" s="14"/>
      <c r="E318" s="121"/>
    </row>
    <row r="319">
      <c r="B319" s="14"/>
      <c r="E319" s="121"/>
    </row>
    <row r="320">
      <c r="B320" s="14"/>
      <c r="E320" s="121"/>
    </row>
    <row r="321">
      <c r="B321" s="14"/>
      <c r="E321" s="121"/>
    </row>
    <row r="322">
      <c r="B322" s="14"/>
      <c r="E322" s="121"/>
    </row>
    <row r="323">
      <c r="B323" s="14"/>
      <c r="E323" s="121"/>
    </row>
    <row r="324">
      <c r="B324" s="14"/>
      <c r="E324" s="121"/>
    </row>
    <row r="325">
      <c r="B325" s="14"/>
      <c r="E325" s="121"/>
    </row>
    <row r="326">
      <c r="B326" s="14"/>
      <c r="E326" s="121"/>
    </row>
    <row r="327">
      <c r="B327" s="14"/>
      <c r="E327" s="121"/>
    </row>
    <row r="328">
      <c r="B328" s="14"/>
      <c r="E328" s="121"/>
    </row>
    <row r="329">
      <c r="B329" s="14"/>
      <c r="E329" s="121"/>
    </row>
    <row r="330">
      <c r="B330" s="14"/>
      <c r="E330" s="121"/>
    </row>
    <row r="331">
      <c r="B331" s="14"/>
      <c r="E331" s="121"/>
    </row>
    <row r="332">
      <c r="B332" s="14"/>
      <c r="E332" s="121"/>
    </row>
    <row r="333">
      <c r="B333" s="14"/>
      <c r="E333" s="121"/>
    </row>
    <row r="334">
      <c r="B334" s="14"/>
      <c r="E334" s="121"/>
    </row>
    <row r="335">
      <c r="B335" s="14"/>
      <c r="E335" s="121"/>
    </row>
    <row r="336">
      <c r="B336" s="14"/>
      <c r="E336" s="121"/>
    </row>
    <row r="337">
      <c r="B337" s="14"/>
      <c r="E337" s="121"/>
    </row>
    <row r="338">
      <c r="B338" s="14"/>
      <c r="E338" s="121"/>
    </row>
    <row r="339">
      <c r="B339" s="14"/>
      <c r="E339" s="121"/>
    </row>
    <row r="340">
      <c r="B340" s="14"/>
      <c r="E340" s="121"/>
    </row>
    <row r="341">
      <c r="B341" s="14"/>
      <c r="E341" s="121"/>
    </row>
    <row r="342">
      <c r="B342" s="14"/>
      <c r="E342" s="121"/>
    </row>
    <row r="343">
      <c r="B343" s="14"/>
      <c r="E343" s="121"/>
    </row>
    <row r="344">
      <c r="B344" s="14"/>
      <c r="E344" s="121"/>
    </row>
    <row r="345">
      <c r="B345" s="14"/>
      <c r="E345" s="121"/>
    </row>
    <row r="346">
      <c r="B346" s="14"/>
      <c r="E346" s="121"/>
    </row>
    <row r="347">
      <c r="B347" s="14"/>
      <c r="E347" s="121"/>
    </row>
    <row r="348">
      <c r="B348" s="14"/>
      <c r="E348" s="121"/>
    </row>
    <row r="349">
      <c r="B349" s="14"/>
      <c r="E349" s="121"/>
    </row>
    <row r="350">
      <c r="B350" s="14"/>
      <c r="E350" s="121"/>
    </row>
    <row r="351">
      <c r="B351" s="14"/>
      <c r="E351" s="121"/>
    </row>
    <row r="352">
      <c r="B352" s="14"/>
      <c r="E352" s="121"/>
    </row>
    <row r="353">
      <c r="B353" s="14"/>
      <c r="E353" s="121"/>
    </row>
    <row r="354">
      <c r="B354" s="14"/>
      <c r="E354" s="121"/>
    </row>
    <row r="355">
      <c r="B355" s="14"/>
      <c r="E355" s="121"/>
    </row>
    <row r="356">
      <c r="B356" s="14"/>
      <c r="E356" s="121"/>
    </row>
    <row r="357">
      <c r="B357" s="14"/>
      <c r="E357" s="121"/>
    </row>
    <row r="358">
      <c r="B358" s="14"/>
      <c r="E358" s="121"/>
    </row>
    <row r="359">
      <c r="B359" s="14"/>
      <c r="E359" s="121"/>
    </row>
    <row r="360">
      <c r="B360" s="14"/>
      <c r="E360" s="121"/>
    </row>
    <row r="361">
      <c r="B361" s="14"/>
      <c r="E361" s="121"/>
    </row>
    <row r="362">
      <c r="B362" s="14"/>
      <c r="E362" s="121"/>
    </row>
    <row r="363">
      <c r="B363" s="14"/>
      <c r="E363" s="121"/>
    </row>
    <row r="364">
      <c r="B364" s="14"/>
      <c r="E364" s="121"/>
    </row>
    <row r="365">
      <c r="B365" s="14"/>
      <c r="E365" s="121"/>
    </row>
    <row r="366">
      <c r="B366" s="14"/>
      <c r="E366" s="121"/>
    </row>
    <row r="367">
      <c r="B367" s="14"/>
      <c r="E367" s="121"/>
    </row>
    <row r="368">
      <c r="B368" s="14"/>
      <c r="E368" s="121"/>
    </row>
    <row r="369">
      <c r="B369" s="14"/>
      <c r="E369" s="121"/>
    </row>
    <row r="370">
      <c r="B370" s="14"/>
      <c r="E370" s="121"/>
    </row>
    <row r="371">
      <c r="B371" s="14"/>
      <c r="E371" s="121"/>
    </row>
    <row r="372">
      <c r="B372" s="14"/>
      <c r="E372" s="121"/>
    </row>
    <row r="373">
      <c r="B373" s="14"/>
      <c r="E373" s="121"/>
    </row>
    <row r="374">
      <c r="B374" s="14"/>
      <c r="E374" s="121"/>
    </row>
    <row r="375">
      <c r="B375" s="14"/>
      <c r="E375" s="121"/>
    </row>
    <row r="376">
      <c r="B376" s="14"/>
      <c r="E376" s="121"/>
    </row>
    <row r="377">
      <c r="B377" s="14"/>
      <c r="E377" s="121"/>
    </row>
    <row r="378">
      <c r="B378" s="14"/>
      <c r="E378" s="121"/>
    </row>
    <row r="379">
      <c r="B379" s="14"/>
      <c r="E379" s="121"/>
    </row>
    <row r="380">
      <c r="B380" s="14"/>
      <c r="E380" s="121"/>
    </row>
    <row r="381">
      <c r="B381" s="14"/>
      <c r="E381" s="121"/>
    </row>
    <row r="382">
      <c r="B382" s="14"/>
      <c r="E382" s="121"/>
    </row>
    <row r="383">
      <c r="B383" s="14"/>
      <c r="E383" s="121"/>
    </row>
    <row r="384">
      <c r="B384" s="14"/>
      <c r="E384" s="121"/>
    </row>
    <row r="385">
      <c r="B385" s="14"/>
      <c r="E385" s="121"/>
    </row>
    <row r="386">
      <c r="B386" s="14"/>
      <c r="E386" s="121"/>
    </row>
    <row r="387">
      <c r="B387" s="14"/>
      <c r="E387" s="121"/>
    </row>
    <row r="388">
      <c r="B388" s="14"/>
      <c r="E388" s="121"/>
    </row>
    <row r="389">
      <c r="B389" s="14"/>
      <c r="E389" s="121"/>
    </row>
    <row r="390">
      <c r="B390" s="14"/>
      <c r="E390" s="121"/>
    </row>
    <row r="391">
      <c r="B391" s="14"/>
      <c r="E391" s="121"/>
    </row>
    <row r="392">
      <c r="B392" s="14"/>
      <c r="E392" s="121"/>
    </row>
    <row r="393">
      <c r="B393" s="14"/>
      <c r="E393" s="121"/>
    </row>
    <row r="394">
      <c r="B394" s="14"/>
      <c r="E394" s="121"/>
    </row>
    <row r="395">
      <c r="B395" s="14"/>
      <c r="E395" s="121"/>
    </row>
    <row r="396">
      <c r="B396" s="14"/>
      <c r="E396" s="121"/>
    </row>
    <row r="397">
      <c r="B397" s="14"/>
      <c r="E397" s="121"/>
    </row>
    <row r="398">
      <c r="B398" s="14"/>
      <c r="E398" s="121"/>
    </row>
    <row r="399">
      <c r="B399" s="14"/>
      <c r="E399" s="121"/>
    </row>
    <row r="400">
      <c r="B400" s="14"/>
      <c r="E400" s="121"/>
    </row>
    <row r="401">
      <c r="B401" s="14"/>
      <c r="E401" s="121"/>
    </row>
    <row r="402">
      <c r="B402" s="14"/>
      <c r="E402" s="121"/>
    </row>
    <row r="403">
      <c r="B403" s="14"/>
      <c r="E403" s="121"/>
    </row>
    <row r="404">
      <c r="B404" s="14"/>
      <c r="E404" s="121"/>
    </row>
    <row r="405">
      <c r="B405" s="14"/>
      <c r="E405" s="121"/>
    </row>
    <row r="406">
      <c r="B406" s="14"/>
      <c r="E406" s="121"/>
    </row>
    <row r="407">
      <c r="B407" s="14"/>
      <c r="E407" s="121"/>
    </row>
    <row r="408">
      <c r="B408" s="14"/>
      <c r="E408" s="121"/>
    </row>
    <row r="409">
      <c r="B409" s="14"/>
      <c r="E409" s="121"/>
    </row>
    <row r="410">
      <c r="B410" s="14"/>
      <c r="E410" s="121"/>
    </row>
    <row r="411">
      <c r="B411" s="14"/>
      <c r="E411" s="121"/>
    </row>
    <row r="412">
      <c r="B412" s="14"/>
      <c r="E412" s="121"/>
    </row>
    <row r="413">
      <c r="B413" s="14"/>
      <c r="E413" s="121"/>
    </row>
    <row r="414">
      <c r="B414" s="14"/>
      <c r="E414" s="121"/>
    </row>
    <row r="415">
      <c r="B415" s="14"/>
      <c r="E415" s="121"/>
    </row>
    <row r="416">
      <c r="B416" s="14"/>
      <c r="E416" s="121"/>
    </row>
    <row r="417">
      <c r="B417" s="14"/>
      <c r="E417" s="121"/>
    </row>
    <row r="418">
      <c r="B418" s="14"/>
      <c r="E418" s="121"/>
    </row>
    <row r="419">
      <c r="B419" s="14"/>
      <c r="E419" s="121"/>
    </row>
    <row r="420">
      <c r="B420" s="14"/>
      <c r="E420" s="121"/>
    </row>
    <row r="421">
      <c r="B421" s="14"/>
      <c r="E421" s="121"/>
    </row>
    <row r="422">
      <c r="B422" s="14"/>
      <c r="E422" s="121"/>
    </row>
    <row r="423">
      <c r="B423" s="14"/>
      <c r="E423" s="121"/>
    </row>
    <row r="424">
      <c r="B424" s="14"/>
      <c r="E424" s="121"/>
    </row>
    <row r="425">
      <c r="B425" s="14"/>
      <c r="E425" s="121"/>
    </row>
    <row r="426">
      <c r="B426" s="14"/>
      <c r="E426" s="121"/>
    </row>
    <row r="427">
      <c r="B427" s="14"/>
      <c r="E427" s="121"/>
    </row>
    <row r="428">
      <c r="B428" s="14"/>
      <c r="E428" s="121"/>
    </row>
    <row r="429">
      <c r="B429" s="14"/>
      <c r="E429" s="121"/>
    </row>
    <row r="430">
      <c r="B430" s="14"/>
      <c r="E430" s="121"/>
    </row>
    <row r="431">
      <c r="B431" s="14"/>
      <c r="E431" s="121"/>
    </row>
    <row r="432">
      <c r="B432" s="14"/>
      <c r="E432" s="121"/>
    </row>
    <row r="433">
      <c r="B433" s="14"/>
      <c r="E433" s="121"/>
    </row>
    <row r="434">
      <c r="B434" s="14"/>
      <c r="E434" s="121"/>
    </row>
    <row r="435">
      <c r="B435" s="14"/>
      <c r="E435" s="121"/>
    </row>
    <row r="436">
      <c r="B436" s="14"/>
      <c r="E436" s="121"/>
    </row>
    <row r="437">
      <c r="B437" s="14"/>
      <c r="E437" s="121"/>
    </row>
    <row r="438">
      <c r="B438" s="14"/>
      <c r="E438" s="121"/>
    </row>
    <row r="439">
      <c r="B439" s="14"/>
      <c r="E439" s="121"/>
    </row>
    <row r="440">
      <c r="B440" s="14"/>
      <c r="E440" s="121"/>
    </row>
    <row r="441">
      <c r="B441" s="14"/>
      <c r="E441" s="121"/>
    </row>
    <row r="442">
      <c r="B442" s="14"/>
      <c r="E442" s="121"/>
    </row>
    <row r="443">
      <c r="B443" s="14"/>
      <c r="E443" s="121"/>
    </row>
    <row r="444">
      <c r="B444" s="14"/>
      <c r="E444" s="121"/>
    </row>
    <row r="445">
      <c r="B445" s="14"/>
      <c r="E445" s="121"/>
    </row>
    <row r="446">
      <c r="B446" s="14"/>
      <c r="E446" s="121"/>
    </row>
    <row r="447">
      <c r="B447" s="14"/>
      <c r="E447" s="121"/>
    </row>
    <row r="448">
      <c r="B448" s="14"/>
      <c r="E448" s="121"/>
    </row>
    <row r="449">
      <c r="B449" s="14"/>
      <c r="E449" s="121"/>
    </row>
    <row r="450">
      <c r="B450" s="14"/>
      <c r="E450" s="121"/>
    </row>
    <row r="451">
      <c r="B451" s="14"/>
      <c r="E451" s="121"/>
    </row>
    <row r="452">
      <c r="B452" s="14"/>
      <c r="E452" s="121"/>
    </row>
    <row r="453">
      <c r="B453" s="14"/>
      <c r="E453" s="121"/>
    </row>
    <row r="454">
      <c r="B454" s="14"/>
      <c r="E454" s="121"/>
    </row>
    <row r="455">
      <c r="B455" s="14"/>
      <c r="E455" s="121"/>
    </row>
    <row r="456">
      <c r="B456" s="14"/>
      <c r="E456" s="121"/>
    </row>
    <row r="457">
      <c r="B457" s="14"/>
      <c r="E457" s="121"/>
    </row>
    <row r="458">
      <c r="B458" s="14"/>
      <c r="E458" s="121"/>
    </row>
    <row r="459">
      <c r="B459" s="14"/>
      <c r="E459" s="121"/>
    </row>
    <row r="460">
      <c r="B460" s="14"/>
      <c r="E460" s="121"/>
    </row>
    <row r="461">
      <c r="B461" s="14"/>
      <c r="E461" s="121"/>
    </row>
    <row r="462">
      <c r="B462" s="14"/>
      <c r="E462" s="121"/>
    </row>
    <row r="463">
      <c r="B463" s="14"/>
      <c r="E463" s="121"/>
    </row>
    <row r="464">
      <c r="B464" s="14"/>
      <c r="E464" s="121"/>
    </row>
    <row r="465">
      <c r="B465" s="14"/>
      <c r="E465" s="121"/>
    </row>
    <row r="466">
      <c r="B466" s="14"/>
      <c r="E466" s="121"/>
    </row>
    <row r="467">
      <c r="B467" s="14"/>
      <c r="E467" s="121"/>
    </row>
    <row r="468">
      <c r="B468" s="14"/>
      <c r="E468" s="121"/>
    </row>
    <row r="469">
      <c r="B469" s="14"/>
      <c r="E469" s="121"/>
    </row>
    <row r="470">
      <c r="B470" s="14"/>
      <c r="E470" s="121"/>
    </row>
    <row r="471">
      <c r="B471" s="14"/>
      <c r="E471" s="121"/>
    </row>
    <row r="472">
      <c r="B472" s="14"/>
      <c r="E472" s="121"/>
    </row>
    <row r="473">
      <c r="B473" s="14"/>
      <c r="E473" s="121"/>
    </row>
    <row r="474">
      <c r="B474" s="14"/>
      <c r="E474" s="121"/>
    </row>
    <row r="475">
      <c r="B475" s="14"/>
      <c r="E475" s="121"/>
    </row>
    <row r="476">
      <c r="B476" s="14"/>
      <c r="E476" s="121"/>
    </row>
    <row r="477">
      <c r="B477" s="14"/>
      <c r="E477" s="121"/>
    </row>
    <row r="478">
      <c r="B478" s="14"/>
      <c r="E478" s="121"/>
    </row>
    <row r="479">
      <c r="B479" s="14"/>
      <c r="E479" s="121"/>
    </row>
    <row r="480">
      <c r="B480" s="14"/>
      <c r="E480" s="121"/>
    </row>
    <row r="481">
      <c r="B481" s="14"/>
      <c r="E481" s="121"/>
    </row>
    <row r="482">
      <c r="B482" s="14"/>
      <c r="E482" s="121"/>
    </row>
    <row r="483">
      <c r="B483" s="14"/>
      <c r="E483" s="121"/>
    </row>
    <row r="484">
      <c r="B484" s="14"/>
      <c r="E484" s="121"/>
    </row>
    <row r="485">
      <c r="B485" s="14"/>
      <c r="E485" s="121"/>
    </row>
    <row r="486">
      <c r="B486" s="14"/>
      <c r="E486" s="121"/>
    </row>
    <row r="487">
      <c r="B487" s="14"/>
      <c r="E487" s="121"/>
    </row>
    <row r="488">
      <c r="B488" s="14"/>
      <c r="E488" s="121"/>
    </row>
    <row r="489">
      <c r="B489" s="14"/>
      <c r="E489" s="121"/>
    </row>
    <row r="490">
      <c r="B490" s="14"/>
      <c r="E490" s="121"/>
    </row>
    <row r="491">
      <c r="B491" s="14"/>
      <c r="E491" s="121"/>
    </row>
    <row r="492">
      <c r="B492" s="14"/>
      <c r="E492" s="121"/>
    </row>
    <row r="493">
      <c r="B493" s="14"/>
      <c r="E493" s="121"/>
    </row>
    <row r="494">
      <c r="B494" s="14"/>
      <c r="E494" s="121"/>
    </row>
    <row r="495">
      <c r="B495" s="14"/>
      <c r="E495" s="121"/>
    </row>
    <row r="496">
      <c r="B496" s="14"/>
      <c r="E496" s="121"/>
    </row>
    <row r="497">
      <c r="B497" s="14"/>
      <c r="E497" s="121"/>
    </row>
    <row r="498">
      <c r="B498" s="14"/>
      <c r="E498" s="121"/>
    </row>
    <row r="499">
      <c r="B499" s="14"/>
      <c r="E499" s="121"/>
    </row>
    <row r="500">
      <c r="B500" s="14"/>
      <c r="E500" s="121"/>
    </row>
    <row r="501">
      <c r="B501" s="14"/>
      <c r="E501" s="121"/>
    </row>
    <row r="502">
      <c r="B502" s="14"/>
      <c r="E502" s="121"/>
    </row>
    <row r="503">
      <c r="B503" s="14"/>
      <c r="E503" s="121"/>
    </row>
    <row r="504">
      <c r="B504" s="14"/>
      <c r="E504" s="121"/>
    </row>
    <row r="505">
      <c r="B505" s="14"/>
      <c r="E505" s="121"/>
    </row>
    <row r="506">
      <c r="B506" s="14"/>
      <c r="E506" s="121"/>
    </row>
    <row r="507">
      <c r="B507" s="14"/>
      <c r="E507" s="121"/>
    </row>
    <row r="508">
      <c r="B508" s="14"/>
      <c r="E508" s="121"/>
    </row>
    <row r="509">
      <c r="B509" s="14"/>
      <c r="E509" s="121"/>
    </row>
    <row r="510">
      <c r="B510" s="14"/>
      <c r="E510" s="121"/>
    </row>
    <row r="511">
      <c r="B511" s="14"/>
      <c r="E511" s="121"/>
    </row>
    <row r="512">
      <c r="B512" s="14"/>
      <c r="E512" s="121"/>
    </row>
    <row r="513">
      <c r="B513" s="14"/>
      <c r="E513" s="121"/>
    </row>
    <row r="514">
      <c r="B514" s="14"/>
      <c r="E514" s="121"/>
    </row>
    <row r="515">
      <c r="B515" s="14"/>
      <c r="E515" s="121"/>
    </row>
    <row r="516">
      <c r="B516" s="14"/>
      <c r="E516" s="121"/>
    </row>
    <row r="517">
      <c r="B517" s="14"/>
      <c r="E517" s="121"/>
    </row>
    <row r="518">
      <c r="B518" s="14"/>
      <c r="E518" s="121"/>
    </row>
    <row r="519">
      <c r="B519" s="14"/>
      <c r="E519" s="121"/>
    </row>
    <row r="520">
      <c r="B520" s="14"/>
      <c r="E520" s="121"/>
    </row>
    <row r="521">
      <c r="B521" s="14"/>
      <c r="E521" s="121"/>
    </row>
    <row r="522">
      <c r="B522" s="14"/>
      <c r="E522" s="121"/>
    </row>
    <row r="523">
      <c r="B523" s="14"/>
      <c r="E523" s="121"/>
    </row>
    <row r="524">
      <c r="B524" s="14"/>
      <c r="E524" s="121"/>
    </row>
    <row r="525">
      <c r="B525" s="14"/>
      <c r="E525" s="121"/>
    </row>
    <row r="526">
      <c r="B526" s="14"/>
      <c r="E526" s="121"/>
    </row>
    <row r="527">
      <c r="B527" s="14"/>
      <c r="E527" s="121"/>
    </row>
    <row r="528">
      <c r="B528" s="14"/>
      <c r="E528" s="121"/>
    </row>
    <row r="529">
      <c r="B529" s="14"/>
      <c r="E529" s="121"/>
    </row>
    <row r="530">
      <c r="B530" s="14"/>
      <c r="E530" s="121"/>
    </row>
    <row r="531">
      <c r="B531" s="14"/>
      <c r="E531" s="121"/>
    </row>
    <row r="532">
      <c r="B532" s="14"/>
      <c r="E532" s="121"/>
    </row>
    <row r="533">
      <c r="B533" s="14"/>
      <c r="E533" s="121"/>
    </row>
    <row r="534">
      <c r="B534" s="14"/>
      <c r="E534" s="121"/>
    </row>
    <row r="535">
      <c r="B535" s="14"/>
      <c r="E535" s="121"/>
    </row>
    <row r="536">
      <c r="B536" s="14"/>
      <c r="E536" s="121"/>
    </row>
    <row r="537">
      <c r="B537" s="14"/>
      <c r="E537" s="121"/>
    </row>
    <row r="538">
      <c r="B538" s="14"/>
      <c r="E538" s="121"/>
    </row>
    <row r="539">
      <c r="B539" s="14"/>
      <c r="E539" s="121"/>
    </row>
    <row r="540">
      <c r="B540" s="14"/>
      <c r="E540" s="121"/>
    </row>
    <row r="541">
      <c r="B541" s="14"/>
      <c r="E541" s="121"/>
    </row>
    <row r="542">
      <c r="B542" s="14"/>
      <c r="E542" s="121"/>
    </row>
    <row r="543">
      <c r="B543" s="14"/>
      <c r="E543" s="121"/>
    </row>
    <row r="544">
      <c r="B544" s="14"/>
      <c r="E544" s="121"/>
    </row>
    <row r="545">
      <c r="B545" s="14"/>
      <c r="E545" s="121"/>
    </row>
    <row r="546">
      <c r="B546" s="14"/>
      <c r="E546" s="121"/>
    </row>
    <row r="547">
      <c r="B547" s="14"/>
      <c r="E547" s="121"/>
    </row>
    <row r="548">
      <c r="B548" s="14"/>
      <c r="E548" s="121"/>
    </row>
    <row r="549">
      <c r="B549" s="14"/>
      <c r="E549" s="121"/>
    </row>
    <row r="550">
      <c r="B550" s="14"/>
      <c r="E550" s="121"/>
    </row>
    <row r="551">
      <c r="B551" s="14"/>
      <c r="E551" s="121"/>
    </row>
    <row r="552">
      <c r="B552" s="14"/>
      <c r="E552" s="121"/>
    </row>
    <row r="553">
      <c r="B553" s="14"/>
      <c r="E553" s="121"/>
    </row>
    <row r="554">
      <c r="B554" s="14"/>
      <c r="E554" s="121"/>
    </row>
    <row r="555">
      <c r="B555" s="14"/>
      <c r="E555" s="121"/>
    </row>
    <row r="556">
      <c r="B556" s="14"/>
      <c r="E556" s="121"/>
    </row>
    <row r="557">
      <c r="B557" s="14"/>
      <c r="E557" s="121"/>
    </row>
    <row r="558">
      <c r="B558" s="14"/>
      <c r="E558" s="121"/>
    </row>
    <row r="559">
      <c r="B559" s="14"/>
      <c r="E559" s="121"/>
    </row>
    <row r="560">
      <c r="B560" s="14"/>
      <c r="E560" s="121"/>
    </row>
    <row r="561">
      <c r="B561" s="14"/>
      <c r="E561" s="121"/>
    </row>
    <row r="562">
      <c r="B562" s="14"/>
      <c r="E562" s="121"/>
    </row>
    <row r="563">
      <c r="B563" s="14"/>
      <c r="E563" s="121"/>
    </row>
    <row r="564">
      <c r="B564" s="14"/>
      <c r="E564" s="121"/>
    </row>
    <row r="565">
      <c r="B565" s="14"/>
      <c r="E565" s="121"/>
    </row>
    <row r="566">
      <c r="B566" s="14"/>
      <c r="E566" s="121"/>
    </row>
    <row r="567">
      <c r="B567" s="14"/>
      <c r="E567" s="121"/>
    </row>
    <row r="568">
      <c r="B568" s="14"/>
      <c r="E568" s="121"/>
    </row>
    <row r="569">
      <c r="B569" s="14"/>
      <c r="E569" s="121"/>
    </row>
    <row r="570">
      <c r="B570" s="14"/>
      <c r="E570" s="121"/>
    </row>
    <row r="571">
      <c r="B571" s="14"/>
      <c r="E571" s="121"/>
    </row>
    <row r="572">
      <c r="B572" s="14"/>
      <c r="E572" s="121"/>
    </row>
    <row r="573">
      <c r="B573" s="14"/>
      <c r="E573" s="121"/>
    </row>
    <row r="574">
      <c r="B574" s="14"/>
      <c r="E574" s="121"/>
    </row>
    <row r="575">
      <c r="B575" s="14"/>
      <c r="E575" s="121"/>
    </row>
    <row r="576">
      <c r="B576" s="14"/>
      <c r="E576" s="121"/>
    </row>
    <row r="577">
      <c r="B577" s="14"/>
      <c r="E577" s="121"/>
    </row>
    <row r="578">
      <c r="B578" s="14"/>
      <c r="E578" s="121"/>
    </row>
    <row r="579">
      <c r="B579" s="14"/>
      <c r="E579" s="121"/>
    </row>
    <row r="580">
      <c r="B580" s="14"/>
      <c r="E580" s="121"/>
    </row>
    <row r="581">
      <c r="B581" s="14"/>
      <c r="E581" s="121"/>
    </row>
    <row r="582">
      <c r="B582" s="14"/>
      <c r="E582" s="121"/>
    </row>
    <row r="583">
      <c r="B583" s="14"/>
      <c r="E583" s="121"/>
    </row>
    <row r="584">
      <c r="B584" s="14"/>
      <c r="E584" s="121"/>
    </row>
    <row r="585">
      <c r="B585" s="14"/>
      <c r="E585" s="121"/>
    </row>
    <row r="586">
      <c r="B586" s="14"/>
      <c r="E586" s="121"/>
    </row>
    <row r="587">
      <c r="B587" s="14"/>
      <c r="E587" s="121"/>
    </row>
    <row r="588">
      <c r="B588" s="14"/>
      <c r="E588" s="121"/>
    </row>
    <row r="589">
      <c r="B589" s="14"/>
      <c r="E589" s="121"/>
    </row>
    <row r="590">
      <c r="B590" s="14"/>
      <c r="E590" s="121"/>
    </row>
    <row r="591">
      <c r="B591" s="14"/>
      <c r="E591" s="121"/>
    </row>
    <row r="592">
      <c r="B592" s="14"/>
      <c r="E592" s="121"/>
    </row>
    <row r="593">
      <c r="B593" s="14"/>
      <c r="E593" s="121"/>
    </row>
    <row r="594">
      <c r="B594" s="14"/>
      <c r="E594" s="121"/>
    </row>
    <row r="595">
      <c r="B595" s="14"/>
      <c r="E595" s="121"/>
    </row>
    <row r="596">
      <c r="B596" s="14"/>
      <c r="E596" s="121"/>
    </row>
    <row r="597">
      <c r="B597" s="14"/>
      <c r="E597" s="121"/>
    </row>
    <row r="598">
      <c r="B598" s="14"/>
      <c r="E598" s="121"/>
    </row>
    <row r="599">
      <c r="B599" s="14"/>
      <c r="E599" s="121"/>
    </row>
    <row r="600">
      <c r="B600" s="14"/>
      <c r="E600" s="121"/>
    </row>
    <row r="601">
      <c r="B601" s="14"/>
      <c r="E601" s="121"/>
    </row>
    <row r="602">
      <c r="B602" s="14"/>
      <c r="E602" s="121"/>
    </row>
    <row r="603">
      <c r="B603" s="14"/>
      <c r="E603" s="121"/>
    </row>
    <row r="604">
      <c r="B604" s="14"/>
      <c r="E604" s="121"/>
    </row>
    <row r="605">
      <c r="B605" s="14"/>
      <c r="E605" s="121"/>
    </row>
    <row r="606">
      <c r="B606" s="14"/>
      <c r="E606" s="121"/>
    </row>
    <row r="607">
      <c r="B607" s="14"/>
      <c r="E607" s="121"/>
    </row>
    <row r="608">
      <c r="B608" s="14"/>
      <c r="E608" s="121"/>
    </row>
    <row r="609">
      <c r="B609" s="14"/>
      <c r="E609" s="121"/>
    </row>
    <row r="610">
      <c r="B610" s="14"/>
      <c r="E610" s="121"/>
    </row>
    <row r="611">
      <c r="B611" s="14"/>
      <c r="E611" s="121"/>
    </row>
    <row r="612">
      <c r="B612" s="14"/>
      <c r="E612" s="121"/>
    </row>
    <row r="613">
      <c r="B613" s="14"/>
      <c r="E613" s="121"/>
    </row>
    <row r="614">
      <c r="B614" s="14"/>
      <c r="E614" s="121"/>
    </row>
    <row r="615">
      <c r="B615" s="14"/>
      <c r="E615" s="121"/>
    </row>
    <row r="616">
      <c r="B616" s="14"/>
      <c r="E616" s="121"/>
    </row>
    <row r="617">
      <c r="B617" s="14"/>
      <c r="E617" s="121"/>
    </row>
    <row r="618">
      <c r="B618" s="14"/>
      <c r="E618" s="121"/>
    </row>
    <row r="619">
      <c r="B619" s="14"/>
      <c r="E619" s="121"/>
    </row>
    <row r="620">
      <c r="B620" s="14"/>
      <c r="E620" s="121"/>
    </row>
    <row r="621">
      <c r="B621" s="14"/>
      <c r="E621" s="121"/>
    </row>
    <row r="622">
      <c r="B622" s="14"/>
      <c r="E622" s="121"/>
    </row>
    <row r="623">
      <c r="B623" s="14"/>
      <c r="E623" s="121"/>
    </row>
    <row r="624">
      <c r="B624" s="14"/>
      <c r="E624" s="121"/>
    </row>
    <row r="625">
      <c r="B625" s="14"/>
      <c r="E625" s="121"/>
    </row>
    <row r="626">
      <c r="B626" s="14"/>
      <c r="E626" s="121"/>
    </row>
    <row r="627">
      <c r="B627" s="14"/>
      <c r="E627" s="121"/>
    </row>
    <row r="628">
      <c r="B628" s="14"/>
      <c r="E628" s="121"/>
    </row>
    <row r="629">
      <c r="B629" s="14"/>
      <c r="E629" s="121"/>
    </row>
    <row r="630">
      <c r="B630" s="14"/>
      <c r="E630" s="121"/>
    </row>
    <row r="631">
      <c r="B631" s="14"/>
      <c r="E631" s="121"/>
    </row>
    <row r="632">
      <c r="B632" s="14"/>
      <c r="E632" s="121"/>
    </row>
    <row r="633">
      <c r="B633" s="14"/>
      <c r="E633" s="121"/>
    </row>
    <row r="634">
      <c r="B634" s="14"/>
      <c r="E634" s="121"/>
    </row>
    <row r="635">
      <c r="B635" s="14"/>
      <c r="E635" s="121"/>
    </row>
    <row r="636">
      <c r="B636" s="14"/>
      <c r="E636" s="121"/>
    </row>
    <row r="637">
      <c r="B637" s="14"/>
      <c r="E637" s="121"/>
    </row>
    <row r="638">
      <c r="B638" s="14"/>
      <c r="E638" s="121"/>
    </row>
    <row r="639">
      <c r="B639" s="14"/>
      <c r="E639" s="121"/>
    </row>
    <row r="640">
      <c r="B640" s="14"/>
      <c r="E640" s="121"/>
    </row>
    <row r="641">
      <c r="B641" s="14"/>
      <c r="E641" s="121"/>
    </row>
    <row r="642">
      <c r="B642" s="14"/>
      <c r="E642" s="121"/>
    </row>
    <row r="643">
      <c r="B643" s="14"/>
      <c r="E643" s="121"/>
    </row>
    <row r="644">
      <c r="B644" s="14"/>
      <c r="E644" s="121"/>
    </row>
    <row r="645">
      <c r="B645" s="14"/>
      <c r="E645" s="121"/>
    </row>
    <row r="646">
      <c r="B646" s="14"/>
      <c r="E646" s="121"/>
    </row>
    <row r="647">
      <c r="B647" s="14"/>
      <c r="E647" s="121"/>
    </row>
    <row r="648">
      <c r="B648" s="14"/>
      <c r="E648" s="121"/>
    </row>
    <row r="649">
      <c r="B649" s="14"/>
      <c r="E649" s="121"/>
    </row>
    <row r="650">
      <c r="B650" s="14"/>
      <c r="E650" s="121"/>
    </row>
    <row r="651">
      <c r="B651" s="14"/>
      <c r="E651" s="121"/>
    </row>
    <row r="652">
      <c r="B652" s="14"/>
      <c r="E652" s="121"/>
    </row>
    <row r="653">
      <c r="B653" s="14"/>
      <c r="E653" s="121"/>
    </row>
    <row r="654">
      <c r="B654" s="14"/>
      <c r="E654" s="121"/>
    </row>
    <row r="655">
      <c r="B655" s="14"/>
      <c r="E655" s="121"/>
    </row>
    <row r="656">
      <c r="B656" s="14"/>
      <c r="E656" s="121"/>
    </row>
    <row r="657">
      <c r="B657" s="14"/>
      <c r="E657" s="121"/>
    </row>
    <row r="658">
      <c r="B658" s="14"/>
      <c r="E658" s="121"/>
    </row>
    <row r="659">
      <c r="B659" s="14"/>
      <c r="E659" s="121"/>
    </row>
    <row r="660">
      <c r="B660" s="14"/>
      <c r="E660" s="121"/>
    </row>
    <row r="661">
      <c r="B661" s="14"/>
      <c r="E661" s="121"/>
    </row>
    <row r="662">
      <c r="B662" s="14"/>
      <c r="E662" s="121"/>
    </row>
    <row r="663">
      <c r="B663" s="14"/>
      <c r="E663" s="121"/>
    </row>
    <row r="664">
      <c r="B664" s="14"/>
      <c r="E664" s="121"/>
    </row>
    <row r="665">
      <c r="B665" s="14"/>
      <c r="E665" s="121"/>
    </row>
    <row r="666">
      <c r="B666" s="14"/>
      <c r="E666" s="121"/>
    </row>
    <row r="667">
      <c r="B667" s="14"/>
      <c r="E667" s="121"/>
    </row>
    <row r="668">
      <c r="B668" s="14"/>
      <c r="E668" s="121"/>
    </row>
    <row r="669">
      <c r="B669" s="14"/>
      <c r="E669" s="121"/>
    </row>
    <row r="670">
      <c r="B670" s="14"/>
      <c r="E670" s="121"/>
    </row>
    <row r="671">
      <c r="B671" s="14"/>
      <c r="E671" s="121"/>
    </row>
    <row r="672">
      <c r="B672" s="14"/>
      <c r="E672" s="121"/>
    </row>
    <row r="673">
      <c r="B673" s="14"/>
      <c r="E673" s="121"/>
    </row>
    <row r="674">
      <c r="B674" s="14"/>
      <c r="E674" s="121"/>
    </row>
    <row r="675">
      <c r="B675" s="14"/>
      <c r="E675" s="121"/>
    </row>
    <row r="676">
      <c r="B676" s="14"/>
      <c r="E676" s="121"/>
    </row>
    <row r="677">
      <c r="B677" s="14"/>
      <c r="E677" s="121"/>
    </row>
    <row r="678">
      <c r="B678" s="14"/>
      <c r="E678" s="121"/>
    </row>
    <row r="679">
      <c r="B679" s="14"/>
      <c r="E679" s="121"/>
    </row>
    <row r="680">
      <c r="B680" s="14"/>
      <c r="E680" s="121"/>
    </row>
    <row r="681">
      <c r="B681" s="14"/>
      <c r="E681" s="121"/>
    </row>
    <row r="682">
      <c r="B682" s="14"/>
      <c r="E682" s="121"/>
    </row>
    <row r="683">
      <c r="B683" s="14"/>
      <c r="E683" s="121"/>
    </row>
    <row r="684">
      <c r="B684" s="14"/>
      <c r="E684" s="121"/>
    </row>
    <row r="685">
      <c r="B685" s="14"/>
      <c r="E685" s="121"/>
    </row>
    <row r="686">
      <c r="B686" s="14"/>
      <c r="E686" s="121"/>
    </row>
    <row r="687">
      <c r="B687" s="14"/>
      <c r="E687" s="121"/>
    </row>
    <row r="688">
      <c r="B688" s="14"/>
      <c r="E688" s="121"/>
    </row>
    <row r="689">
      <c r="B689" s="14"/>
      <c r="E689" s="121"/>
    </row>
    <row r="690">
      <c r="B690" s="14"/>
      <c r="E690" s="121"/>
    </row>
    <row r="691">
      <c r="B691" s="14"/>
      <c r="E691" s="121"/>
    </row>
    <row r="692">
      <c r="B692" s="14"/>
      <c r="E692" s="121"/>
    </row>
    <row r="693">
      <c r="B693" s="14"/>
      <c r="E693" s="121"/>
    </row>
    <row r="694">
      <c r="B694" s="14"/>
      <c r="E694" s="121"/>
    </row>
    <row r="695">
      <c r="B695" s="14"/>
      <c r="E695" s="121"/>
    </row>
    <row r="696">
      <c r="B696" s="14"/>
      <c r="E696" s="121"/>
    </row>
    <row r="697">
      <c r="B697" s="14"/>
      <c r="E697" s="121"/>
    </row>
    <row r="698">
      <c r="B698" s="14"/>
      <c r="E698" s="121"/>
    </row>
    <row r="699">
      <c r="B699" s="14"/>
      <c r="E699" s="121"/>
    </row>
    <row r="700">
      <c r="B700" s="14"/>
      <c r="E700" s="121"/>
    </row>
    <row r="701">
      <c r="B701" s="14"/>
      <c r="E701" s="121"/>
    </row>
    <row r="702">
      <c r="B702" s="14"/>
      <c r="E702" s="121"/>
    </row>
    <row r="703">
      <c r="B703" s="14"/>
      <c r="E703" s="121"/>
    </row>
    <row r="704">
      <c r="B704" s="14"/>
      <c r="E704" s="121"/>
    </row>
    <row r="705">
      <c r="B705" s="14"/>
      <c r="E705" s="121"/>
    </row>
    <row r="706">
      <c r="B706" s="14"/>
      <c r="E706" s="121"/>
    </row>
    <row r="707">
      <c r="B707" s="14"/>
      <c r="E707" s="121"/>
    </row>
    <row r="708">
      <c r="B708" s="14"/>
      <c r="E708" s="121"/>
    </row>
    <row r="709">
      <c r="B709" s="14"/>
      <c r="E709" s="121"/>
    </row>
    <row r="710">
      <c r="B710" s="14"/>
      <c r="E710" s="121"/>
    </row>
    <row r="711">
      <c r="B711" s="14"/>
      <c r="E711" s="121"/>
    </row>
    <row r="712">
      <c r="B712" s="14"/>
      <c r="E712" s="121"/>
    </row>
    <row r="713">
      <c r="B713" s="14"/>
      <c r="E713" s="121"/>
    </row>
    <row r="714">
      <c r="B714" s="14"/>
      <c r="E714" s="121"/>
    </row>
    <row r="715">
      <c r="B715" s="14"/>
      <c r="E715" s="121"/>
    </row>
    <row r="716">
      <c r="B716" s="14"/>
      <c r="E716" s="121"/>
    </row>
    <row r="717">
      <c r="B717" s="14"/>
      <c r="E717" s="121"/>
    </row>
    <row r="718">
      <c r="B718" s="14"/>
      <c r="E718" s="121"/>
    </row>
    <row r="719">
      <c r="B719" s="14"/>
      <c r="E719" s="121"/>
    </row>
    <row r="720">
      <c r="B720" s="14"/>
      <c r="E720" s="121"/>
    </row>
    <row r="721">
      <c r="B721" s="14"/>
      <c r="E721" s="121"/>
    </row>
    <row r="722">
      <c r="B722" s="14"/>
      <c r="E722" s="121"/>
    </row>
    <row r="723">
      <c r="B723" s="14"/>
      <c r="E723" s="121"/>
    </row>
    <row r="724">
      <c r="B724" s="14"/>
      <c r="E724" s="121"/>
    </row>
    <row r="725">
      <c r="B725" s="14"/>
      <c r="E725" s="121"/>
    </row>
    <row r="726">
      <c r="B726" s="14"/>
      <c r="E726" s="121"/>
    </row>
    <row r="727">
      <c r="B727" s="14"/>
      <c r="E727" s="121"/>
    </row>
    <row r="728">
      <c r="B728" s="14"/>
      <c r="E728" s="121"/>
    </row>
    <row r="729">
      <c r="B729" s="14"/>
      <c r="E729" s="121"/>
    </row>
    <row r="730">
      <c r="B730" s="14"/>
      <c r="E730" s="121"/>
    </row>
    <row r="731">
      <c r="B731" s="14"/>
      <c r="E731" s="121"/>
    </row>
    <row r="732">
      <c r="B732" s="14"/>
      <c r="E732" s="121"/>
    </row>
    <row r="733">
      <c r="B733" s="14"/>
      <c r="E733" s="121"/>
    </row>
    <row r="734">
      <c r="B734" s="14"/>
      <c r="E734" s="121"/>
    </row>
    <row r="735">
      <c r="B735" s="14"/>
      <c r="E735" s="121"/>
    </row>
    <row r="736">
      <c r="B736" s="14"/>
      <c r="E736" s="121"/>
    </row>
    <row r="737">
      <c r="B737" s="14"/>
      <c r="E737" s="121"/>
    </row>
    <row r="738">
      <c r="B738" s="14"/>
      <c r="E738" s="121"/>
    </row>
    <row r="739">
      <c r="B739" s="14"/>
      <c r="E739" s="121"/>
    </row>
    <row r="740">
      <c r="B740" s="14"/>
      <c r="E740" s="121"/>
    </row>
    <row r="741">
      <c r="B741" s="14"/>
      <c r="E741" s="121"/>
    </row>
    <row r="742">
      <c r="B742" s="14"/>
      <c r="E742" s="121"/>
    </row>
    <row r="743">
      <c r="B743" s="14"/>
      <c r="E743" s="121"/>
    </row>
    <row r="744">
      <c r="B744" s="14"/>
      <c r="E744" s="121"/>
    </row>
    <row r="745">
      <c r="B745" s="14"/>
      <c r="E745" s="121"/>
    </row>
    <row r="746">
      <c r="B746" s="14"/>
      <c r="E746" s="121"/>
    </row>
    <row r="747">
      <c r="B747" s="14"/>
      <c r="E747" s="121"/>
    </row>
    <row r="748">
      <c r="B748" s="14"/>
      <c r="E748" s="121"/>
    </row>
    <row r="749">
      <c r="B749" s="14"/>
      <c r="E749" s="121"/>
    </row>
    <row r="750">
      <c r="B750" s="14"/>
      <c r="E750" s="121"/>
    </row>
    <row r="751">
      <c r="B751" s="14"/>
      <c r="E751" s="121"/>
    </row>
    <row r="752">
      <c r="B752" s="14"/>
      <c r="E752" s="121"/>
    </row>
    <row r="753">
      <c r="B753" s="14"/>
      <c r="E753" s="121"/>
    </row>
    <row r="754">
      <c r="B754" s="14"/>
      <c r="E754" s="121"/>
    </row>
    <row r="755">
      <c r="B755" s="14"/>
      <c r="E755" s="121"/>
    </row>
    <row r="756">
      <c r="B756" s="14"/>
      <c r="E756" s="121"/>
    </row>
    <row r="757">
      <c r="B757" s="14"/>
      <c r="E757" s="121"/>
    </row>
    <row r="758">
      <c r="B758" s="14"/>
      <c r="E758" s="121"/>
    </row>
    <row r="759">
      <c r="B759" s="14"/>
      <c r="E759" s="121"/>
    </row>
    <row r="760">
      <c r="B760" s="14"/>
      <c r="E760" s="121"/>
    </row>
    <row r="761">
      <c r="B761" s="14"/>
      <c r="E761" s="121"/>
    </row>
    <row r="762">
      <c r="B762" s="14"/>
      <c r="E762" s="121"/>
    </row>
    <row r="763">
      <c r="B763" s="14"/>
      <c r="E763" s="121"/>
    </row>
    <row r="764">
      <c r="B764" s="14"/>
      <c r="E764" s="121"/>
    </row>
    <row r="765">
      <c r="B765" s="14"/>
      <c r="E765" s="121"/>
    </row>
    <row r="766">
      <c r="B766" s="14"/>
      <c r="E766" s="121"/>
    </row>
    <row r="767">
      <c r="B767" s="14"/>
      <c r="E767" s="121"/>
    </row>
    <row r="768">
      <c r="B768" s="14"/>
      <c r="E768" s="121"/>
    </row>
    <row r="769">
      <c r="B769" s="14"/>
      <c r="E769" s="121"/>
    </row>
    <row r="770">
      <c r="B770" s="14"/>
      <c r="E770" s="121"/>
    </row>
    <row r="771">
      <c r="B771" s="14"/>
      <c r="E771" s="121"/>
    </row>
    <row r="772">
      <c r="B772" s="14"/>
      <c r="E772" s="121"/>
    </row>
    <row r="773">
      <c r="B773" s="14"/>
      <c r="E773" s="121"/>
    </row>
    <row r="774">
      <c r="B774" s="14"/>
      <c r="E774" s="121"/>
    </row>
    <row r="775">
      <c r="B775" s="14"/>
      <c r="E775" s="121"/>
    </row>
    <row r="776">
      <c r="B776" s="14"/>
      <c r="E776" s="121"/>
    </row>
    <row r="777">
      <c r="B777" s="14"/>
      <c r="E777" s="121"/>
    </row>
    <row r="778">
      <c r="B778" s="14"/>
      <c r="E778" s="121"/>
    </row>
    <row r="779">
      <c r="B779" s="14"/>
      <c r="E779" s="121"/>
    </row>
    <row r="780">
      <c r="B780" s="14"/>
      <c r="E780" s="121"/>
    </row>
    <row r="781">
      <c r="B781" s="14"/>
      <c r="E781" s="121"/>
    </row>
    <row r="782">
      <c r="B782" s="14"/>
      <c r="E782" s="121"/>
    </row>
    <row r="783">
      <c r="B783" s="14"/>
      <c r="E783" s="121"/>
    </row>
    <row r="784">
      <c r="B784" s="14"/>
      <c r="E784" s="121"/>
    </row>
    <row r="785">
      <c r="B785" s="14"/>
      <c r="E785" s="121"/>
    </row>
    <row r="786">
      <c r="B786" s="14"/>
      <c r="E786" s="121"/>
    </row>
    <row r="787">
      <c r="B787" s="14"/>
      <c r="E787" s="121"/>
    </row>
    <row r="788">
      <c r="B788" s="14"/>
      <c r="E788" s="121"/>
    </row>
    <row r="789">
      <c r="B789" s="14"/>
      <c r="E789" s="121"/>
    </row>
    <row r="790">
      <c r="B790" s="14"/>
      <c r="E790" s="121"/>
    </row>
    <row r="791">
      <c r="B791" s="14"/>
      <c r="E791" s="121"/>
    </row>
    <row r="792">
      <c r="B792" s="14"/>
      <c r="E792" s="121"/>
    </row>
    <row r="793">
      <c r="B793" s="14"/>
      <c r="E793" s="121"/>
    </row>
    <row r="794">
      <c r="B794" s="14"/>
      <c r="E794" s="121"/>
    </row>
    <row r="795">
      <c r="B795" s="14"/>
      <c r="E795" s="121"/>
    </row>
    <row r="796">
      <c r="B796" s="14"/>
      <c r="E796" s="121"/>
    </row>
    <row r="797">
      <c r="B797" s="14"/>
      <c r="E797" s="121"/>
    </row>
    <row r="798">
      <c r="B798" s="14"/>
      <c r="E798" s="121"/>
    </row>
    <row r="799">
      <c r="B799" s="14"/>
      <c r="E799" s="121"/>
    </row>
    <row r="800">
      <c r="B800" s="14"/>
      <c r="E800" s="121"/>
    </row>
    <row r="801">
      <c r="B801" s="14"/>
      <c r="E801" s="121"/>
    </row>
    <row r="802">
      <c r="B802" s="14"/>
      <c r="E802" s="121"/>
    </row>
    <row r="803">
      <c r="B803" s="14"/>
      <c r="E803" s="121"/>
    </row>
    <row r="804">
      <c r="B804" s="14"/>
      <c r="E804" s="121"/>
    </row>
    <row r="805">
      <c r="B805" s="14"/>
      <c r="E805" s="121"/>
    </row>
    <row r="806">
      <c r="B806" s="14"/>
      <c r="E806" s="121"/>
    </row>
    <row r="807">
      <c r="B807" s="14"/>
      <c r="E807" s="121"/>
    </row>
    <row r="808">
      <c r="B808" s="14"/>
      <c r="E808" s="121"/>
    </row>
    <row r="809">
      <c r="B809" s="14"/>
      <c r="E809" s="121"/>
    </row>
    <row r="810">
      <c r="B810" s="14"/>
      <c r="E810" s="121"/>
    </row>
    <row r="811">
      <c r="B811" s="14"/>
      <c r="E811" s="121"/>
    </row>
    <row r="812">
      <c r="B812" s="14"/>
      <c r="E812" s="121"/>
    </row>
    <row r="813">
      <c r="B813" s="14"/>
      <c r="E813" s="121"/>
    </row>
    <row r="814">
      <c r="B814" s="14"/>
      <c r="E814" s="121"/>
    </row>
    <row r="815">
      <c r="B815" s="14"/>
      <c r="E815" s="121"/>
    </row>
    <row r="816">
      <c r="B816" s="14"/>
      <c r="E816" s="121"/>
    </row>
    <row r="817">
      <c r="B817" s="14"/>
      <c r="E817" s="121"/>
    </row>
    <row r="818">
      <c r="B818" s="14"/>
      <c r="E818" s="121"/>
    </row>
    <row r="819">
      <c r="B819" s="14"/>
      <c r="E819" s="121"/>
    </row>
    <row r="820">
      <c r="B820" s="14"/>
      <c r="E820" s="121"/>
    </row>
    <row r="821">
      <c r="B821" s="14"/>
      <c r="E821" s="121"/>
    </row>
    <row r="822">
      <c r="B822" s="14"/>
      <c r="E822" s="121"/>
    </row>
    <row r="823">
      <c r="B823" s="14"/>
      <c r="E823" s="121"/>
    </row>
    <row r="824">
      <c r="B824" s="14"/>
      <c r="E824" s="121"/>
    </row>
    <row r="825">
      <c r="B825" s="14"/>
      <c r="E825" s="121"/>
    </row>
    <row r="826">
      <c r="B826" s="14"/>
      <c r="E826" s="121"/>
    </row>
    <row r="827">
      <c r="B827" s="14"/>
      <c r="E827" s="121"/>
    </row>
    <row r="828">
      <c r="B828" s="14"/>
      <c r="E828" s="121"/>
    </row>
    <row r="829">
      <c r="B829" s="14"/>
      <c r="E829" s="121"/>
    </row>
    <row r="830">
      <c r="B830" s="14"/>
      <c r="E830" s="121"/>
    </row>
    <row r="831">
      <c r="B831" s="14"/>
      <c r="E831" s="121"/>
    </row>
    <row r="832">
      <c r="B832" s="14"/>
      <c r="E832" s="121"/>
    </row>
    <row r="833">
      <c r="B833" s="14"/>
      <c r="E833" s="121"/>
    </row>
    <row r="834">
      <c r="B834" s="14"/>
      <c r="E834" s="121"/>
    </row>
    <row r="835">
      <c r="B835" s="14"/>
      <c r="E835" s="121"/>
    </row>
    <row r="836">
      <c r="B836" s="14"/>
      <c r="E836" s="121"/>
    </row>
    <row r="837">
      <c r="B837" s="14"/>
      <c r="E837" s="121"/>
    </row>
    <row r="838">
      <c r="B838" s="14"/>
      <c r="E838" s="121"/>
    </row>
    <row r="839">
      <c r="B839" s="14"/>
      <c r="E839" s="121"/>
    </row>
    <row r="840">
      <c r="B840" s="14"/>
      <c r="E840" s="121"/>
    </row>
    <row r="841">
      <c r="B841" s="14"/>
      <c r="E841" s="121"/>
    </row>
    <row r="842">
      <c r="B842" s="14"/>
      <c r="E842" s="121"/>
    </row>
    <row r="843">
      <c r="B843" s="14"/>
      <c r="E843" s="121"/>
    </row>
    <row r="844">
      <c r="B844" s="14"/>
      <c r="E844" s="121"/>
    </row>
    <row r="845">
      <c r="B845" s="14"/>
      <c r="E845" s="121"/>
    </row>
    <row r="846">
      <c r="B846" s="14"/>
      <c r="E846" s="121"/>
    </row>
    <row r="847">
      <c r="B847" s="14"/>
      <c r="E847" s="121"/>
    </row>
    <row r="848">
      <c r="B848" s="14"/>
      <c r="E848" s="121"/>
    </row>
    <row r="849">
      <c r="B849" s="14"/>
      <c r="E849" s="121"/>
    </row>
    <row r="850">
      <c r="B850" s="14"/>
      <c r="E850" s="121"/>
    </row>
    <row r="851">
      <c r="B851" s="14"/>
      <c r="E851" s="121"/>
    </row>
    <row r="852">
      <c r="B852" s="14"/>
      <c r="E852" s="121"/>
    </row>
    <row r="853">
      <c r="B853" s="14"/>
      <c r="E853" s="121"/>
    </row>
    <row r="854">
      <c r="B854" s="14"/>
      <c r="E854" s="121"/>
    </row>
    <row r="855">
      <c r="B855" s="14"/>
      <c r="E855" s="121"/>
    </row>
    <row r="856">
      <c r="B856" s="14"/>
      <c r="E856" s="121"/>
    </row>
    <row r="857">
      <c r="B857" s="14"/>
      <c r="E857" s="121"/>
    </row>
    <row r="858">
      <c r="B858" s="14"/>
      <c r="E858" s="121"/>
    </row>
    <row r="859">
      <c r="B859" s="14"/>
      <c r="E859" s="121"/>
    </row>
    <row r="860">
      <c r="B860" s="14"/>
      <c r="E860" s="121"/>
    </row>
    <row r="861">
      <c r="B861" s="14"/>
      <c r="E861" s="121"/>
    </row>
    <row r="862">
      <c r="B862" s="14"/>
      <c r="E862" s="121"/>
    </row>
    <row r="863">
      <c r="B863" s="14"/>
      <c r="E863" s="121"/>
    </row>
    <row r="864">
      <c r="B864" s="14"/>
      <c r="E864" s="121"/>
    </row>
    <row r="865">
      <c r="B865" s="14"/>
      <c r="E865" s="121"/>
    </row>
    <row r="866">
      <c r="B866" s="14"/>
      <c r="E866" s="121"/>
    </row>
    <row r="867">
      <c r="B867" s="14"/>
      <c r="E867" s="121"/>
    </row>
    <row r="868">
      <c r="B868" s="14"/>
      <c r="E868" s="121"/>
    </row>
    <row r="869">
      <c r="B869" s="14"/>
      <c r="E869" s="121"/>
    </row>
    <row r="870">
      <c r="B870" s="14"/>
      <c r="E870" s="121"/>
    </row>
    <row r="871">
      <c r="B871" s="14"/>
      <c r="E871" s="121"/>
    </row>
    <row r="872">
      <c r="B872" s="14"/>
      <c r="E872" s="121"/>
    </row>
    <row r="873">
      <c r="B873" s="14"/>
      <c r="E873" s="121"/>
    </row>
    <row r="874">
      <c r="B874" s="14"/>
      <c r="E874" s="121"/>
    </row>
    <row r="875">
      <c r="B875" s="14"/>
      <c r="E875" s="121"/>
    </row>
    <row r="876">
      <c r="B876" s="14"/>
      <c r="E876" s="121"/>
    </row>
    <row r="877">
      <c r="B877" s="14"/>
      <c r="E877" s="121"/>
    </row>
    <row r="878">
      <c r="B878" s="14"/>
      <c r="E878" s="121"/>
    </row>
    <row r="879">
      <c r="B879" s="14"/>
      <c r="E879" s="121"/>
    </row>
    <row r="880">
      <c r="B880" s="14"/>
      <c r="E880" s="121"/>
    </row>
    <row r="881">
      <c r="B881" s="14"/>
      <c r="E881" s="121"/>
    </row>
    <row r="882">
      <c r="B882" s="14"/>
      <c r="E882" s="121"/>
    </row>
    <row r="883">
      <c r="B883" s="14"/>
      <c r="E883" s="121"/>
    </row>
    <row r="884">
      <c r="B884" s="14"/>
      <c r="E884" s="121"/>
    </row>
    <row r="885">
      <c r="B885" s="14"/>
      <c r="E885" s="121"/>
    </row>
    <row r="886">
      <c r="B886" s="14"/>
      <c r="E886" s="121"/>
    </row>
    <row r="887">
      <c r="B887" s="14"/>
      <c r="E887" s="121"/>
    </row>
    <row r="888">
      <c r="B888" s="14"/>
      <c r="E888" s="121"/>
    </row>
    <row r="889">
      <c r="B889" s="14"/>
      <c r="E889" s="121"/>
    </row>
    <row r="890">
      <c r="B890" s="14"/>
      <c r="E890" s="121"/>
    </row>
    <row r="891">
      <c r="B891" s="14"/>
      <c r="E891" s="121"/>
    </row>
    <row r="892">
      <c r="B892" s="14"/>
      <c r="E892" s="121"/>
    </row>
    <row r="893">
      <c r="B893" s="14"/>
      <c r="E893" s="121"/>
    </row>
    <row r="894">
      <c r="B894" s="14"/>
      <c r="E894" s="121"/>
    </row>
    <row r="895">
      <c r="B895" s="14"/>
      <c r="E895" s="121"/>
    </row>
    <row r="896">
      <c r="B896" s="14"/>
      <c r="E896" s="121"/>
    </row>
    <row r="897">
      <c r="B897" s="14"/>
      <c r="E897" s="121"/>
    </row>
    <row r="898">
      <c r="B898" s="14"/>
      <c r="E898" s="121"/>
    </row>
    <row r="899">
      <c r="B899" s="14"/>
      <c r="E899" s="121"/>
    </row>
    <row r="900">
      <c r="B900" s="14"/>
      <c r="E900" s="121"/>
    </row>
    <row r="901">
      <c r="B901" s="14"/>
      <c r="E901" s="121"/>
    </row>
    <row r="902">
      <c r="B902" s="14"/>
      <c r="E902" s="121"/>
    </row>
    <row r="903">
      <c r="B903" s="14"/>
      <c r="E903" s="121"/>
    </row>
    <row r="904">
      <c r="B904" s="14"/>
      <c r="E904" s="121"/>
    </row>
    <row r="905">
      <c r="B905" s="14"/>
      <c r="E905" s="121"/>
    </row>
    <row r="906">
      <c r="B906" s="14"/>
      <c r="E906" s="121"/>
    </row>
    <row r="907">
      <c r="B907" s="14"/>
      <c r="E907" s="121"/>
    </row>
    <row r="908">
      <c r="B908" s="14"/>
      <c r="E908" s="121"/>
    </row>
    <row r="909">
      <c r="B909" s="14"/>
      <c r="E909" s="121"/>
    </row>
    <row r="910">
      <c r="B910" s="14"/>
      <c r="E910" s="121"/>
    </row>
    <row r="911">
      <c r="B911" s="14"/>
      <c r="E911" s="121"/>
    </row>
    <row r="912">
      <c r="B912" s="14"/>
      <c r="E912" s="121"/>
    </row>
    <row r="913">
      <c r="B913" s="14"/>
      <c r="E913" s="121"/>
    </row>
    <row r="914">
      <c r="B914" s="14"/>
      <c r="E914" s="121"/>
    </row>
    <row r="915">
      <c r="B915" s="14"/>
      <c r="E915" s="121"/>
    </row>
    <row r="916">
      <c r="B916" s="14"/>
      <c r="E916" s="121"/>
    </row>
    <row r="917">
      <c r="B917" s="14"/>
      <c r="E917" s="121"/>
    </row>
    <row r="918">
      <c r="B918" s="14"/>
      <c r="E918" s="121"/>
    </row>
    <row r="919">
      <c r="B919" s="14"/>
      <c r="E919" s="121"/>
    </row>
    <row r="920">
      <c r="B920" s="14"/>
      <c r="E920" s="121"/>
    </row>
    <row r="921">
      <c r="B921" s="14"/>
      <c r="E921" s="121"/>
    </row>
    <row r="922">
      <c r="B922" s="14"/>
      <c r="E922" s="121"/>
    </row>
    <row r="923">
      <c r="B923" s="14"/>
      <c r="E923" s="121"/>
    </row>
    <row r="924">
      <c r="B924" s="14"/>
      <c r="E924" s="121"/>
    </row>
    <row r="925">
      <c r="B925" s="14"/>
      <c r="E925" s="121"/>
    </row>
    <row r="926">
      <c r="B926" s="14"/>
      <c r="E926" s="121"/>
    </row>
    <row r="927">
      <c r="B927" s="14"/>
      <c r="E927" s="121"/>
    </row>
    <row r="928">
      <c r="B928" s="14"/>
      <c r="E928" s="121"/>
    </row>
    <row r="929">
      <c r="B929" s="14"/>
      <c r="E929" s="121"/>
    </row>
    <row r="930">
      <c r="B930" s="14"/>
      <c r="E930" s="121"/>
    </row>
    <row r="931">
      <c r="B931" s="14"/>
      <c r="E931" s="121"/>
    </row>
    <row r="932">
      <c r="B932" s="14"/>
      <c r="E932" s="121"/>
    </row>
    <row r="933">
      <c r="B933" s="14"/>
      <c r="E933" s="121"/>
    </row>
    <row r="934">
      <c r="B934" s="14"/>
      <c r="E934" s="121"/>
    </row>
    <row r="935">
      <c r="B935" s="14"/>
      <c r="E935" s="121"/>
    </row>
    <row r="936">
      <c r="B936" s="14"/>
      <c r="E936" s="121"/>
    </row>
    <row r="937">
      <c r="B937" s="14"/>
      <c r="E937" s="121"/>
    </row>
    <row r="938">
      <c r="B938" s="14"/>
      <c r="E938" s="121"/>
    </row>
    <row r="939">
      <c r="B939" s="14"/>
      <c r="E939" s="121"/>
    </row>
    <row r="940">
      <c r="B940" s="14"/>
      <c r="E940" s="121"/>
    </row>
    <row r="941">
      <c r="B941" s="14"/>
      <c r="E941" s="121"/>
    </row>
    <row r="942">
      <c r="B942" s="14"/>
      <c r="E942" s="121"/>
    </row>
    <row r="943">
      <c r="B943" s="14"/>
      <c r="E943" s="121"/>
    </row>
    <row r="944">
      <c r="B944" s="14"/>
      <c r="E944" s="121"/>
    </row>
    <row r="945">
      <c r="B945" s="14"/>
      <c r="E945" s="121"/>
    </row>
    <row r="946">
      <c r="B946" s="14"/>
      <c r="E946" s="121"/>
    </row>
    <row r="947">
      <c r="B947" s="14"/>
      <c r="E947" s="121"/>
    </row>
    <row r="948">
      <c r="B948" s="14"/>
      <c r="E948" s="121"/>
    </row>
    <row r="949">
      <c r="B949" s="14"/>
      <c r="E949" s="121"/>
    </row>
    <row r="950">
      <c r="B950" s="14"/>
      <c r="E950" s="121"/>
    </row>
    <row r="951">
      <c r="B951" s="14"/>
      <c r="E951" s="121"/>
    </row>
    <row r="952">
      <c r="B952" s="14"/>
      <c r="E952" s="121"/>
    </row>
    <row r="953">
      <c r="B953" s="14"/>
      <c r="E953" s="121"/>
    </row>
    <row r="954">
      <c r="B954" s="14"/>
      <c r="E954" s="121"/>
    </row>
    <row r="955">
      <c r="B955" s="14"/>
      <c r="E955" s="121"/>
    </row>
    <row r="956">
      <c r="B956" s="14"/>
      <c r="E956" s="121"/>
    </row>
    <row r="957">
      <c r="B957" s="14"/>
      <c r="E957" s="121"/>
    </row>
    <row r="958">
      <c r="B958" s="14"/>
      <c r="E958" s="121"/>
    </row>
    <row r="959">
      <c r="B959" s="14"/>
      <c r="E959" s="121"/>
    </row>
    <row r="960">
      <c r="B960" s="14"/>
      <c r="E960" s="121"/>
    </row>
    <row r="961">
      <c r="B961" s="14"/>
      <c r="E961" s="121"/>
    </row>
    <row r="962">
      <c r="B962" s="14"/>
      <c r="E962" s="121"/>
    </row>
    <row r="963">
      <c r="B963" s="14"/>
      <c r="E963" s="121"/>
    </row>
    <row r="964">
      <c r="B964" s="14"/>
      <c r="E964" s="121"/>
    </row>
    <row r="965">
      <c r="B965" s="14"/>
      <c r="E965" s="121"/>
    </row>
    <row r="966">
      <c r="B966" s="14"/>
      <c r="E966" s="121"/>
    </row>
    <row r="967">
      <c r="B967" s="14"/>
      <c r="E967" s="121"/>
    </row>
    <row r="968">
      <c r="B968" s="14"/>
      <c r="E968" s="121"/>
    </row>
    <row r="969">
      <c r="B969" s="14"/>
      <c r="E969" s="121"/>
    </row>
    <row r="970">
      <c r="B970" s="14"/>
      <c r="E970" s="121"/>
    </row>
    <row r="971">
      <c r="B971" s="14"/>
      <c r="E971" s="121"/>
    </row>
    <row r="972">
      <c r="B972" s="14"/>
      <c r="E972" s="121"/>
    </row>
    <row r="973">
      <c r="B973" s="14"/>
      <c r="E973" s="121"/>
    </row>
    <row r="974">
      <c r="B974" s="14"/>
      <c r="E974" s="121"/>
    </row>
    <row r="975">
      <c r="B975" s="14"/>
      <c r="E975" s="121"/>
    </row>
    <row r="976">
      <c r="B976" s="14"/>
      <c r="E976" s="121"/>
    </row>
    <row r="977">
      <c r="B977" s="14"/>
      <c r="E977" s="121"/>
    </row>
    <row r="978">
      <c r="B978" s="14"/>
      <c r="E978" s="121"/>
    </row>
    <row r="979">
      <c r="B979" s="14"/>
      <c r="E979" s="121"/>
    </row>
    <row r="980">
      <c r="B980" s="14"/>
      <c r="E980" s="121"/>
    </row>
    <row r="981">
      <c r="B981" s="14"/>
      <c r="E981" s="121"/>
    </row>
    <row r="982">
      <c r="B982" s="14"/>
      <c r="E982" s="121"/>
    </row>
    <row r="983">
      <c r="B983" s="14"/>
      <c r="E983" s="121"/>
    </row>
    <row r="984">
      <c r="B984" s="14"/>
      <c r="E984" s="121"/>
    </row>
    <row r="985">
      <c r="B985" s="14"/>
      <c r="E985" s="121"/>
    </row>
    <row r="986">
      <c r="B986" s="14"/>
      <c r="E986" s="121"/>
    </row>
    <row r="987">
      <c r="B987" s="14"/>
      <c r="E987" s="121"/>
    </row>
    <row r="988">
      <c r="B988" s="14"/>
      <c r="E988" s="121"/>
    </row>
    <row r="989">
      <c r="B989" s="14"/>
      <c r="E989" s="121"/>
    </row>
    <row r="990">
      <c r="B990" s="14"/>
      <c r="E990" s="121"/>
    </row>
    <row r="991">
      <c r="B991" s="14"/>
      <c r="E991" s="121"/>
    </row>
    <row r="992">
      <c r="B992" s="14"/>
      <c r="E992" s="121"/>
    </row>
    <row r="993">
      <c r="B993" s="14"/>
      <c r="E993" s="121"/>
    </row>
    <row r="994">
      <c r="B994" s="14"/>
      <c r="E994" s="121"/>
    </row>
    <row r="995">
      <c r="B995" s="14"/>
      <c r="E995" s="121"/>
    </row>
    <row r="996">
      <c r="B996" s="14"/>
      <c r="E996" s="121"/>
    </row>
    <row r="997">
      <c r="B997" s="14"/>
      <c r="E997" s="121"/>
    </row>
    <row r="998">
      <c r="B998" s="14"/>
      <c r="E998" s="121"/>
    </row>
    <row r="999">
      <c r="B999" s="14"/>
      <c r="E999" s="121"/>
    </row>
  </sheetData>
  <dataValidations>
    <dataValidation type="custom" allowBlank="1" showDropDown="1" sqref="E3:E17">
      <formula1>AND(ISNUMBER(E3),(NOT(OR(NOT(ISERROR(DATEVALUE(E3))), AND(ISNUMBER(E3), LEFT(CELL("format", E3))="D")))))</formula1>
    </dataValidation>
  </dataValidations>
  <drawing r:id="rId1"/>
  <tableParts count="1">
    <tablePart r:id="rId3"/>
  </tableParts>
</worksheet>
</file>